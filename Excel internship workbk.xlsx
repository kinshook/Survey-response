
<file path=[Content_Types].xml><?xml version="1.0" encoding="utf-8"?>
<Types xmlns="http://schemas.openxmlformats.org/package/2006/content-types">
  <Override PartName="/xl/pivotTables/pivotTable5.xml" ContentType="application/vnd.openxmlformats-officedocument.spreadsheetml.pivotTable+xml"/>
  <Default Extension="bin" ContentType="application/vnd.openxmlformats-officedocument.spreadsheetml.printerSettings"/>
  <Override PartName="/xl/tables/table3.xml" ContentType="application/vnd.openxmlformats-officedocument.spreadsheetml.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showPivotChartFilter="1" defaultThemeVersion="124226"/>
  <bookViews>
    <workbookView xWindow="1080" yWindow="930" windowWidth="14595" windowHeight="3840"/>
  </bookViews>
  <sheets>
    <sheet name="Sheet2" sheetId="5" r:id="rId1"/>
    <sheet name="fact_survey_responses" sheetId="1" r:id="rId2"/>
    <sheet name="dim_respondents" sheetId="2" state="hidden" r:id="rId3"/>
    <sheet name="dim_cities" sheetId="3" state="hidden" r:id="rId4"/>
    <sheet name="DashBoard" sheetId="7" r:id="rId5"/>
  </sheets>
  <calcPr calcId="125725"/>
  <pivotCaches>
    <pivotCache cacheId="3" r:id="rId6"/>
    <pivotCache cacheId="1" r:id="rId7"/>
  </pivotCaches>
</workbook>
</file>

<file path=xl/calcChain.xml><?xml version="1.0" encoding="utf-8"?>
<calcChain xmlns="http://schemas.openxmlformats.org/spreadsheetml/2006/main">
  <c r="K2" i="1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J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I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H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G2"/>
  <c r="G71"/>
  <c r="G65" i="2"/>
  <c r="G13"/>
  <c r="G15"/>
  <c r="G18"/>
  <c r="G23"/>
  <c r="G24"/>
  <c r="G40"/>
  <c r="G56"/>
  <c r="G8"/>
  <c r="G45"/>
  <c r="G55"/>
  <c r="G68"/>
  <c r="G5"/>
  <c r="G12"/>
  <c r="G14"/>
  <c r="G16"/>
  <c r="G20"/>
  <c r="G30"/>
  <c r="G42"/>
  <c r="G50"/>
  <c r="G58"/>
  <c r="G63"/>
  <c r="G46"/>
  <c r="G47"/>
  <c r="G51"/>
  <c r="G53"/>
  <c r="G54"/>
  <c r="G61"/>
  <c r="G66"/>
  <c r="G67"/>
  <c r="G17"/>
  <c r="G25"/>
  <c r="G21"/>
  <c r="G34"/>
  <c r="G71"/>
  <c r="G36"/>
  <c r="G4"/>
  <c r="G11"/>
  <c r="G19"/>
  <c r="G32"/>
  <c r="G39"/>
  <c r="G41"/>
  <c r="G48"/>
  <c r="G59"/>
  <c r="G60"/>
  <c r="G9"/>
  <c r="G10"/>
  <c r="G33"/>
  <c r="G37"/>
  <c r="G44"/>
  <c r="G62"/>
  <c r="G2"/>
  <c r="G28"/>
  <c r="G69"/>
  <c r="G26"/>
  <c r="G49"/>
  <c r="G3"/>
  <c r="G27"/>
  <c r="G35"/>
  <c r="G38"/>
  <c r="G64"/>
  <c r="G70"/>
  <c r="G7"/>
  <c r="G22"/>
  <c r="G31"/>
  <c r="G43"/>
  <c r="G29"/>
  <c r="G57"/>
  <c r="G6"/>
  <c r="G52"/>
  <c r="G3" i="1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G60"/>
  <c r="G61"/>
  <c r="G62"/>
  <c r="G63"/>
  <c r="G64"/>
  <c r="G65"/>
  <c r="G66"/>
  <c r="G67"/>
  <c r="G68"/>
  <c r="G69"/>
  <c r="G70"/>
  <c r="F26" i="2"/>
  <c r="F65"/>
  <c r="F13"/>
  <c r="F15"/>
  <c r="F18"/>
  <c r="F23"/>
  <c r="F24"/>
  <c r="F40"/>
  <c r="F56"/>
  <c r="F8"/>
  <c r="F45"/>
  <c r="F55"/>
  <c r="F68"/>
  <c r="F5"/>
  <c r="F12"/>
  <c r="F14"/>
  <c r="F16"/>
  <c r="F20"/>
  <c r="F30"/>
  <c r="F42"/>
  <c r="F50"/>
  <c r="F58"/>
  <c r="F63"/>
  <c r="F46"/>
  <c r="F47"/>
  <c r="F51"/>
  <c r="F53"/>
  <c r="F54"/>
  <c r="F61"/>
  <c r="F66"/>
  <c r="F67"/>
  <c r="F17"/>
  <c r="F25"/>
  <c r="F21"/>
  <c r="F34"/>
  <c r="F71"/>
  <c r="F36"/>
  <c r="F4"/>
  <c r="F11"/>
  <c r="F19"/>
  <c r="F32"/>
  <c r="F39"/>
  <c r="F41"/>
  <c r="F48"/>
  <c r="F59"/>
  <c r="F60"/>
  <c r="F9"/>
  <c r="F10"/>
  <c r="F33"/>
  <c r="F37"/>
  <c r="F44"/>
  <c r="F62"/>
  <c r="F2"/>
  <c r="F28"/>
  <c r="F69"/>
  <c r="F49"/>
  <c r="F3"/>
  <c r="F27"/>
  <c r="F35"/>
  <c r="F38"/>
  <c r="F64"/>
  <c r="F70"/>
  <c r="F7"/>
  <c r="F22"/>
  <c r="F31"/>
  <c r="F43"/>
  <c r="F29"/>
  <c r="F57"/>
  <c r="F6"/>
  <c r="F52"/>
</calcChain>
</file>

<file path=xl/sharedStrings.xml><?xml version="1.0" encoding="utf-8"?>
<sst xmlns="http://schemas.openxmlformats.org/spreadsheetml/2006/main" count="599" uniqueCount="148">
  <si>
    <t>Response_ID</t>
  </si>
  <si>
    <t>Respondent_ID</t>
  </si>
  <si>
    <t>Taste_experience</t>
  </si>
  <si>
    <t>Price_range</t>
  </si>
  <si>
    <t>Purchase_location</t>
  </si>
  <si>
    <t>50-99</t>
  </si>
  <si>
    <t>Supermarkets</t>
  </si>
  <si>
    <t>Bepsi</t>
  </si>
  <si>
    <t>100-150</t>
  </si>
  <si>
    <t>Above 150</t>
  </si>
  <si>
    <t>Online retailers</t>
  </si>
  <si>
    <t>Cola-Coka</t>
  </si>
  <si>
    <t>Gyms and fitness centers</t>
  </si>
  <si>
    <t>Other</t>
  </si>
  <si>
    <t>Gangster</t>
  </si>
  <si>
    <t>Sky 9</t>
  </si>
  <si>
    <t>Local stores</t>
  </si>
  <si>
    <t>Below 50</t>
  </si>
  <si>
    <t>Blue Bull</t>
  </si>
  <si>
    <t>Name</t>
  </si>
  <si>
    <t>Age</t>
  </si>
  <si>
    <t>Gender</t>
  </si>
  <si>
    <t>City_ID</t>
  </si>
  <si>
    <t>Aniruddh Issac</t>
  </si>
  <si>
    <t>15-18</t>
  </si>
  <si>
    <t>F</t>
  </si>
  <si>
    <t>CT117</t>
  </si>
  <si>
    <t>19-30</t>
  </si>
  <si>
    <t>CT118</t>
  </si>
  <si>
    <t>M</t>
  </si>
  <si>
    <t>CT116</t>
  </si>
  <si>
    <t>31-45</t>
  </si>
  <si>
    <t>CT113</t>
  </si>
  <si>
    <t>CT120</t>
  </si>
  <si>
    <t xml:space="preserve">CT118 </t>
  </si>
  <si>
    <t xml:space="preserve">CT112 </t>
  </si>
  <si>
    <t xml:space="preserve">CT116 </t>
  </si>
  <si>
    <t>Zara Joshi</t>
  </si>
  <si>
    <t>46-65</t>
  </si>
  <si>
    <t>CT112</t>
  </si>
  <si>
    <t>Kimaya Borde</t>
  </si>
  <si>
    <t>Tushar Malhotra</t>
  </si>
  <si>
    <t>65+</t>
  </si>
  <si>
    <t>CT114</t>
  </si>
  <si>
    <t>Dharmajan Doshi</t>
  </si>
  <si>
    <t xml:space="preserve">CT114 </t>
  </si>
  <si>
    <t>Non-binary</t>
  </si>
  <si>
    <t xml:space="preserve">CT117 </t>
  </si>
  <si>
    <t>Biju Bera</t>
  </si>
  <si>
    <t>CT119</t>
  </si>
  <si>
    <t>Yuvaan Kari</t>
  </si>
  <si>
    <t xml:space="preserve">CT115 </t>
  </si>
  <si>
    <t>Kismat Lata</t>
  </si>
  <si>
    <t>Anya Gill</t>
  </si>
  <si>
    <t xml:space="preserve">CT113 </t>
  </si>
  <si>
    <t>Heer Suri</t>
  </si>
  <si>
    <t>Ishaan Sengupta</t>
  </si>
  <si>
    <t>Myra Ganesan</t>
  </si>
  <si>
    <t>Rasha Bhavsar</t>
  </si>
  <si>
    <t>CT111</t>
  </si>
  <si>
    <t>Darshit Sami</t>
  </si>
  <si>
    <t>Divyansh Bhatt</t>
  </si>
  <si>
    <t>City</t>
  </si>
  <si>
    <t>Tier</t>
  </si>
  <si>
    <t>Tier 1</t>
  </si>
  <si>
    <t>Bangalore</t>
  </si>
  <si>
    <t>CT115</t>
  </si>
  <si>
    <t>Kolkata</t>
  </si>
  <si>
    <t>Hyderabad</t>
  </si>
  <si>
    <t>Ahmedabad</t>
  </si>
  <si>
    <t>Tier 2</t>
  </si>
  <si>
    <t>Pune</t>
  </si>
  <si>
    <t>Jaipur</t>
  </si>
  <si>
    <t>Lucknow</t>
  </si>
  <si>
    <t>Delhi</t>
  </si>
  <si>
    <t>Mumbai</t>
  </si>
  <si>
    <t>Chennai</t>
  </si>
  <si>
    <t>Trisha Rout</t>
  </si>
  <si>
    <t>Yuvraj  Virk</t>
  </si>
  <si>
    <t>Pranay Chand</t>
  </si>
  <si>
    <t>Mohanlal Joshi</t>
  </si>
  <si>
    <t>Zeeshan Ratta</t>
  </si>
  <si>
    <t>Oorja Anne</t>
  </si>
  <si>
    <t>Rhea Khanna</t>
  </si>
  <si>
    <t>Sana Dhawan</t>
  </si>
  <si>
    <t>Misha Warrior</t>
  </si>
  <si>
    <t>Kiara Chander</t>
  </si>
  <si>
    <t>Azad Gera</t>
  </si>
  <si>
    <t>Aarav Bath</t>
  </si>
  <si>
    <t>Ojas Char</t>
  </si>
  <si>
    <t>Advik Baria</t>
  </si>
  <si>
    <t>Dhruv Loyal</t>
  </si>
  <si>
    <t>Diya Srinivas</t>
  </si>
  <si>
    <t>Alia Lala</t>
  </si>
  <si>
    <t>Samaira Lad</t>
  </si>
  <si>
    <t>Pari Subramaniam</t>
  </si>
  <si>
    <t>Umang Sarkar</t>
  </si>
  <si>
    <t>Rhea Kar</t>
  </si>
  <si>
    <t>Kanav Thaman</t>
  </si>
  <si>
    <t>Sana Bumb</t>
  </si>
  <si>
    <t>Piya Sani</t>
  </si>
  <si>
    <t>Tanya Deshmukh</t>
  </si>
  <si>
    <t>Diya Sunder</t>
  </si>
  <si>
    <t>Shanaya Kadakia</t>
  </si>
  <si>
    <t>Shamik Chaudry</t>
  </si>
  <si>
    <t>Yashvi Deo</t>
  </si>
  <si>
    <t>Eshani Bahl</t>
  </si>
  <si>
    <t>Anahi Ganguly</t>
  </si>
  <si>
    <t>Pranay Tella</t>
  </si>
  <si>
    <t>Parinaaz Goel</t>
  </si>
  <si>
    <t>Divit Gandhi</t>
  </si>
  <si>
    <t>Saanvi Reddy</t>
  </si>
  <si>
    <t>Jhanvi Samra</t>
  </si>
  <si>
    <t>Ryan Dasgupta</t>
  </si>
  <si>
    <t>Tarini Acharya</t>
  </si>
  <si>
    <t>Suhana Ramakrishnan</t>
  </si>
  <si>
    <t>Sana Mand</t>
  </si>
  <si>
    <t>Abram Khatri</t>
  </si>
  <si>
    <t>Anahita Sidhu</t>
  </si>
  <si>
    <t>Nirvaan Loyal</t>
  </si>
  <si>
    <t>Veer Brahmbhatt</t>
  </si>
  <si>
    <t>Kaira Bhardwaj</t>
  </si>
  <si>
    <t>Heer Ganesan</t>
  </si>
  <si>
    <t>Lakshit Bassi</t>
  </si>
  <si>
    <t>Advik Ratti</t>
  </si>
  <si>
    <t>Baiju Sane</t>
  </si>
  <si>
    <t>Shayak Sane</t>
  </si>
  <si>
    <t>Armaan Bassi</t>
  </si>
  <si>
    <t>Advika Borah</t>
  </si>
  <si>
    <t>Sumer Sandal</t>
  </si>
  <si>
    <t>Saira Sridhar</t>
  </si>
  <si>
    <t>Ivana Bhatti</t>
  </si>
  <si>
    <t>Current_Brands</t>
  </si>
  <si>
    <t>Codex</t>
  </si>
  <si>
    <t>Others</t>
  </si>
  <si>
    <t>City_Name</t>
  </si>
  <si>
    <t>Respondents</t>
  </si>
  <si>
    <t>Age Group</t>
  </si>
  <si>
    <t>Row Labels</t>
  </si>
  <si>
    <t>Grand Total</t>
  </si>
  <si>
    <t>Count of Respondents</t>
  </si>
  <si>
    <t>Highest Number of Respondents</t>
  </si>
  <si>
    <t>Values</t>
  </si>
  <si>
    <t>(All)</t>
  </si>
  <si>
    <t xml:space="preserve"> Brand</t>
  </si>
  <si>
    <t>Avg Taste_experience</t>
  </si>
  <si>
    <t>No. Of Repondents</t>
  </si>
  <si>
    <t>Taste Experience  in Every Purchase Location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</si>
</sst>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6600"/>
      </left>
      <right style="thick">
        <color rgb="FF006600"/>
      </right>
      <top style="thick">
        <color rgb="FF006600"/>
      </top>
      <bottom style="thick">
        <color rgb="FF00660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164" fontId="0" fillId="0" borderId="0" xfId="0" applyNumberFormat="1"/>
    <xf numFmtId="164" fontId="0" fillId="0" borderId="1" xfId="0" applyNumberFormat="1" applyBorder="1"/>
  </cellXfs>
  <cellStyles count="1">
    <cellStyle name="Normal" xfId="0" builtinId="0"/>
  </cellStyles>
  <dxfs count="35">
    <dxf>
      <border>
        <left style="thick">
          <color rgb="FF006600"/>
        </left>
        <right style="thick">
          <color rgb="FF006600"/>
        </right>
        <top style="thick">
          <color rgb="FF006600"/>
        </top>
        <bottom style="thick">
          <color rgb="FF006600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bgColor auto="1"/>
        </patternFill>
      </fill>
      <border>
        <vertical/>
        <horizontal/>
      </border>
    </dxf>
    <dxf>
      <border>
        <left style="thin">
          <color rgb="FF006600"/>
        </left>
        <right style="thin">
          <color rgb="FF006600"/>
        </right>
        <top style="thin">
          <color rgb="FF006600"/>
        </top>
        <bottom style="thin">
          <color rgb="FF006600"/>
        </bottom>
        <vertical/>
        <horizontal/>
      </border>
    </dxf>
    <dxf>
      <fill>
        <gradientFill type="path" left="0.5" right="0.5" top="0.5" bottom="0.5">
          <stop position="0">
            <color theme="0"/>
          </stop>
          <stop position="1">
            <color rgb="FFFF97E4"/>
          </stop>
        </gradientFill>
      </fill>
    </dxf>
    <dxf>
      <fill>
        <gradientFill type="path" left="0.5" right="0.5" top="0.5" bottom="0.5">
          <stop position="0">
            <color rgb="FF92D050"/>
          </stop>
          <stop position="1">
            <color rgb="FF7030A0"/>
          </stop>
        </gradientFill>
      </fill>
      <border>
        <left style="thin">
          <color rgb="FF7030A0"/>
        </left>
        <right style="thin">
          <color rgb="FF7030A0"/>
        </right>
        <top style="thin">
          <color rgb="FF7030A0"/>
        </top>
        <bottom style="thin">
          <color rgb="FF7030A0"/>
        </bottom>
        <vertical/>
        <horizontal/>
      </border>
    </dxf>
    <dxf>
      <fill>
        <patternFill>
          <bgColor rgb="FF7030A0"/>
        </patternFill>
      </fill>
    </dxf>
    <dxf>
      <fill>
        <gradientFill type="path" degree="180" left="0.5" right="0.5" top="0.5" bottom="0.5">
          <stop position="0">
            <color rgb="FF92D050"/>
          </stop>
          <stop position="1">
            <color theme="6" tint="0.40000610370189521"/>
          </stop>
        </gradientFill>
      </fill>
    </dxf>
    <dxf>
      <fill>
        <gradientFill degree="13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rgb="FFFFA3A3"/>
          </stop>
          <stop position="1">
            <color rgb="FFFFFF00"/>
          </stop>
        </gradientFill>
      </fill>
    </dxf>
    <dxf>
      <border>
        <left style="thin">
          <color theme="8" tint="-0.499984740745262"/>
        </left>
        <right style="thin">
          <color theme="8" tint="-0.499984740745262"/>
        </right>
        <top style="thin">
          <color theme="8" tint="-0.499984740745262"/>
        </top>
        <bottom style="thin">
          <color theme="8" tint="-0.499984740745262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ndense val="0"/>
        <extend val="0"/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30" formatCode="@"/>
    </dxf>
    <dxf>
      <fill>
        <gradientFill type="path" degree="180" left="0.5" right="0.5" top="0.5" bottom="0.5">
          <stop position="0">
            <color rgb="FF92D050"/>
          </stop>
          <stop position="1">
            <color theme="6" tint="0.40000610370189521"/>
          </stop>
        </gradientFill>
      </fill>
    </dxf>
    <dxf>
      <fill>
        <gradientFill degree="135">
          <stop position="0">
            <color theme="0"/>
          </stop>
          <stop position="1">
            <color rgb="FF92D050"/>
          </stop>
        </gradientFill>
      </fill>
    </dxf>
    <dxf>
      <fill>
        <gradientFill type="path" left="0.5" right="0.5" top="0.5" bottom="0.5">
          <stop position="0">
            <color rgb="FFFFA3A3"/>
          </stop>
          <stop position="1">
            <color rgb="FFFFFF00"/>
          </stop>
        </gradientFill>
      </fill>
    </dxf>
    <dxf>
      <border>
        <left style="thin">
          <color theme="8" tint="-0.499984740745262"/>
        </left>
        <right style="thin">
          <color theme="8" tint="-0.499984740745262"/>
        </right>
        <top style="thin">
          <color theme="8" tint="-0.499984740745262"/>
        </top>
        <bottom style="thin">
          <color theme="8" tint="-0.499984740745262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theme="6" tint="-0.499984740745262"/>
        </left>
        <right style="thin">
          <color theme="6" tint="-0.499984740745262"/>
        </right>
        <top style="thin">
          <color theme="6" tint="-0.499984740745262"/>
        </top>
        <bottom style="thin">
          <color theme="6" tint="-0.499984740745262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ndense val="0"/>
        <extend val="0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ABFFAB"/>
      <color rgb="FFFFA3A3"/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3"/>
  <c:pivotSource>
    <c:name>[Excel internship workbk.xlsx]Sheet2!PivotTable2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en-US" sz="1400"/>
              <a:t>Tier</a:t>
            </a:r>
            <a:r>
              <a:rPr lang="en-US" sz="1400" baseline="0"/>
              <a:t> Wise </a:t>
            </a:r>
            <a:r>
              <a:rPr lang="en-US" sz="1400"/>
              <a:t>No.</a:t>
            </a:r>
            <a:r>
              <a:rPr lang="en-US" sz="1400" baseline="0"/>
              <a:t> of Repondents</a:t>
            </a:r>
            <a:endParaRPr lang="en-US" sz="1400"/>
          </a:p>
        </c:rich>
      </c:tx>
      <c:layout/>
    </c:title>
    <c:pivotFmts>
      <c:pivotFmt>
        <c:idx val="0"/>
      </c:pivotFmt>
      <c:pivotFmt>
        <c:idx val="1"/>
        <c:marker>
          <c:symbol val="none"/>
        </c:marker>
        <c:dLbl>
          <c:idx val="0"/>
          <c:layout/>
          <c:spPr/>
          <c:txPr>
            <a:bodyPr/>
            <a:lstStyle/>
            <a:p>
              <a:pPr>
                <a:defRPr/>
              </a:pPr>
              <a:endParaRPr lang="en-US"/>
            </a:p>
          </c:txPr>
          <c:showCatName val="1"/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dLbls>
            <c:spPr/>
            <c:txPr>
              <a:bodyPr/>
              <a:lstStyle/>
              <a:p>
                <a:pPr>
                  <a:defRPr/>
                </a:pPr>
                <a:endParaRPr lang="en-US"/>
              </a:p>
            </c:txPr>
            <c:showCatName val="1"/>
            <c:showLeaderLines val="1"/>
          </c:dLbls>
          <c:cat>
            <c:strRef>
              <c:f>Sheet2!$D$4:$D$6</c:f>
              <c:strCache>
                <c:ptCount val="2"/>
                <c:pt idx="0">
                  <c:v>Tier 1</c:v>
                </c:pt>
                <c:pt idx="1">
                  <c:v>Tier 2</c:v>
                </c:pt>
              </c:strCache>
            </c:strRef>
          </c:cat>
          <c:val>
            <c:numRef>
              <c:f>Sheet2!$E$4:$E$6</c:f>
              <c:numCache>
                <c:formatCode>General</c:formatCode>
                <c:ptCount val="2"/>
                <c:pt idx="0">
                  <c:v>50</c:v>
                </c:pt>
                <c:pt idx="1">
                  <c:v>20</c:v>
                </c:pt>
              </c:numCache>
            </c:numRef>
          </c:val>
        </c:ser>
        <c:firstSliceAng val="0"/>
        <c:holeSize val="50"/>
      </c:doughnutChart>
    </c:plotArea>
    <c:plotVisOnly val="1"/>
  </c:chart>
  <c:spPr>
    <a:solidFill>
      <a:sysClr val="window" lastClr="FFFFFF">
        <a:alpha val="81000"/>
      </a:sysClr>
    </a:solidFill>
    <a:ln>
      <a:gradFill>
        <a:gsLst>
          <a:gs pos="0">
            <a:schemeClr val="accent5">
              <a:lumMod val="60000"/>
              <a:lumOff val="40000"/>
            </a:schemeClr>
          </a:gs>
          <a:gs pos="50000">
            <a:srgbClr val="4F81BD">
              <a:tint val="44500"/>
              <a:satMod val="160000"/>
            </a:srgbClr>
          </a:gs>
          <a:gs pos="100000">
            <a:srgbClr val="4F81BD">
              <a:tint val="23500"/>
              <a:satMod val="160000"/>
            </a:srgbClr>
          </a:gs>
        </a:gsLst>
        <a:lin ang="5400000" scaled="0"/>
      </a:gradFill>
    </a:ln>
    <a:effectLst>
      <a:outerShdw blurRad="50800" dist="50800" dir="5400000" algn="ctr" rotWithShape="0">
        <a:schemeClr val="accent5">
          <a:lumMod val="60000"/>
          <a:lumOff val="40000"/>
        </a:schemeClr>
      </a:outerShdw>
    </a:effectLst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[Excel internship workbk.xlsx]Sheet2!PivotTable1</c:name>
    <c:fmtId val="3"/>
  </c:pivotSource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/>
              <a:t>Age Grps with Max Respondents</a:t>
            </a:r>
            <a:endParaRPr lang="en-US" sz="1400"/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 sz="1400"/>
          </a:p>
        </c:rich>
      </c:tx>
      <c:layout/>
    </c:title>
    <c:pivotFmts>
      <c:pivotFmt>
        <c:idx val="0"/>
        <c:spPr>
          <a:solidFill>
            <a:srgbClr val="4BACC6">
              <a:lumMod val="50000"/>
              <a:alpha val="91000"/>
            </a:srgbClr>
          </a:solidFill>
        </c:spPr>
        <c:marker>
          <c:symbol val="none"/>
        </c:marker>
      </c:pivotFmt>
      <c:pivotFmt>
        <c:idx val="1"/>
        <c:spPr>
          <a:solidFill>
            <a:srgbClr val="00B050">
              <a:alpha val="91000"/>
            </a:srgbClr>
          </a:solidFill>
        </c:spPr>
      </c:pivotFmt>
      <c:pivotFmt>
        <c:idx val="2"/>
        <c:spPr>
          <a:solidFill>
            <a:srgbClr val="4BACC6">
              <a:lumMod val="50000"/>
              <a:alpha val="91000"/>
            </a:srgbClr>
          </a:solidFill>
        </c:spPr>
        <c:marker>
          <c:symbol val="none"/>
        </c:marker>
      </c:pivotFmt>
      <c:pivotFmt>
        <c:idx val="3"/>
        <c:spPr>
          <a:solidFill>
            <a:srgbClr val="00B050">
              <a:alpha val="91000"/>
            </a:srgbClr>
          </a:solidFill>
        </c:spPr>
      </c:pivotFmt>
    </c:pivotFmts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BACC6">
                <a:lumMod val="50000"/>
                <a:alpha val="91000"/>
              </a:srgbClr>
            </a:solidFill>
          </c:spPr>
          <c:dPt>
            <c:idx val="1"/>
            <c:spPr>
              <a:solidFill>
                <a:srgbClr val="00B050">
                  <a:alpha val="91000"/>
                </a:srgbClr>
              </a:solidFill>
            </c:spPr>
          </c:dPt>
          <c:cat>
            <c:strRef>
              <c:f>Sheet2!$A$4:$A$9</c:f>
              <c:strCache>
                <c:ptCount val="5"/>
                <c:pt idx="0">
                  <c:v>15-18</c:v>
                </c:pt>
                <c:pt idx="1">
                  <c:v>19-30</c:v>
                </c:pt>
                <c:pt idx="2">
                  <c:v>31-45</c:v>
                </c:pt>
                <c:pt idx="3">
                  <c:v>46-65</c:v>
                </c:pt>
                <c:pt idx="4">
                  <c:v>65+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10</c:v>
                </c:pt>
                <c:pt idx="1">
                  <c:v>42</c:v>
                </c:pt>
                <c:pt idx="2">
                  <c:v>14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</c:ser>
        <c:shape val="box"/>
        <c:axId val="156030848"/>
        <c:axId val="156032384"/>
        <c:axId val="0"/>
      </c:bar3DChart>
      <c:catAx>
        <c:axId val="156030848"/>
        <c:scaling>
          <c:orientation val="minMax"/>
        </c:scaling>
        <c:axPos val="b"/>
        <c:tickLblPos val="nextTo"/>
        <c:crossAx val="156032384"/>
        <c:crosses val="autoZero"/>
        <c:auto val="1"/>
        <c:lblAlgn val="ctr"/>
        <c:lblOffset val="100"/>
      </c:catAx>
      <c:valAx>
        <c:axId val="156032384"/>
        <c:scaling>
          <c:orientation val="minMax"/>
        </c:scaling>
        <c:axPos val="l"/>
        <c:majorGridlines/>
        <c:numFmt formatCode="General" sourceLinked="1"/>
        <c:tickLblPos val="nextTo"/>
        <c:crossAx val="156030848"/>
        <c:crosses val="autoZero"/>
        <c:crossBetween val="between"/>
      </c:valAx>
    </c:plotArea>
    <c:plotVisOnly val="1"/>
  </c:chart>
  <c:spPr>
    <a:solidFill>
      <a:schemeClr val="accent1">
        <a:lumMod val="20000"/>
        <a:lumOff val="80000"/>
        <a:alpha val="90000"/>
      </a:schemeClr>
    </a:solid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13</xdr:row>
      <xdr:rowOff>76201</xdr:rowOff>
    </xdr:from>
    <xdr:to>
      <xdr:col>9</xdr:col>
      <xdr:colOff>676275</xdr:colOff>
      <xdr:row>23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57150</xdr:colOff>
      <xdr:row>1</xdr:row>
      <xdr:rowOff>9524</xdr:rowOff>
    </xdr:from>
    <xdr:to>
      <xdr:col>6</xdr:col>
      <xdr:colOff>590550</xdr:colOff>
      <xdr:row>12</xdr:row>
      <xdr:rowOff>200024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elcome" refreshedDate="46190.64198912037" createdVersion="3" refreshedVersion="3" minRefreshableVersion="3" recordCount="70">
  <cacheSource type="worksheet">
    <worksheetSource name="Table2"/>
  </cacheSource>
  <cacheFields count="11">
    <cacheField name="Response_ID" numFmtId="0">
      <sharedItems containsSemiMixedTypes="0" containsString="0" containsNumber="1" containsInteger="1" minValue="103001" maxValue="103070"/>
    </cacheField>
    <cacheField name="Respondent_ID" numFmtId="0">
      <sharedItems containsSemiMixedTypes="0" containsString="0" containsNumber="1" containsInteger="1" minValue="120031" maxValue="120100"/>
    </cacheField>
    <cacheField name="Current_Brands" numFmtId="0">
      <sharedItems count="7">
        <s v="Blue Bull"/>
        <s v="Bepsi"/>
        <s v="Sky 9"/>
        <s v="Cola-Coka"/>
        <s v="Gangster"/>
        <s v="Codex"/>
        <s v="Others"/>
      </sharedItems>
    </cacheField>
    <cacheField name="Taste_experience" numFmtId="49">
      <sharedItems containsSemiMixedTypes="0" containsString="0" containsNumber="1" containsInteger="1" minValue="1" maxValue="5" count="5">
        <n v="5"/>
        <n v="2"/>
        <n v="4"/>
        <n v="3"/>
        <n v="1"/>
      </sharedItems>
    </cacheField>
    <cacheField name="Price_range" numFmtId="1">
      <sharedItems count="4">
        <s v="50-99"/>
        <s v="100-150"/>
        <s v="Above 150"/>
        <s v="Below 50"/>
      </sharedItems>
    </cacheField>
    <cacheField name="Purchase_location" numFmtId="0">
      <sharedItems count="5">
        <s v="Supermarkets"/>
        <s v="Online retailers"/>
        <s v="Gyms and fitness centers"/>
        <s v="Other"/>
        <s v="Local stores"/>
      </sharedItems>
    </cacheField>
    <cacheField name="Respondents" numFmtId="0">
      <sharedItems count="70">
        <s v="Aniruddh Issac"/>
        <s v="Trisha Rout"/>
        <s v="Yuvraj  Virk"/>
        <s v="Pranay Chand"/>
        <s v="Mohanlal Joshi"/>
        <s v="Zeeshan Ratta"/>
        <s v="Oorja Anne"/>
        <s v="Rhea Khanna"/>
        <s v="Zara Joshi"/>
        <s v="Sana Dhawan"/>
        <s v="Misha Warrior"/>
        <s v="Kiara Chander"/>
        <s v="Kimaya Borde"/>
        <s v="Tushar Malhotra"/>
        <s v="Azad Gera"/>
        <s v="Aarav Bath"/>
        <s v="Ojas Char"/>
        <s v="Advik Baria"/>
        <s v="Dhruv Loyal"/>
        <s v="Dharmajan Doshi"/>
        <s v="Diya Srinivas"/>
        <s v="Alia Lala"/>
        <s v="Samaira Lad"/>
        <s v="Pari Subramaniam"/>
        <s v="Umang Sarkar"/>
        <s v="Rhea Kar"/>
        <s v="Kanav Thaman"/>
        <s v="Biju Bera"/>
        <s v="Sana Bumb"/>
        <s v="Piya Sani"/>
        <s v="Yuvaan Kari"/>
        <s v="Tanya Deshmukh"/>
        <s v="Diya Sunder"/>
        <s v="Shanaya Kadakia"/>
        <s v="Shamik Chaudry"/>
        <s v="Yashvi Deo"/>
        <s v="Eshani Bahl"/>
        <s v="Anahi Ganguly"/>
        <s v="Kismat Lata"/>
        <s v="Anya Gill"/>
        <s v="Pranay Tella"/>
        <s v="Parinaaz Goel"/>
        <s v="Divit Gandhi"/>
        <s v="Saanvi Reddy"/>
        <s v="Jhanvi Samra"/>
        <s v="Ryan Dasgupta"/>
        <s v="Tarini Acharya"/>
        <s v="Suhana Ramakrishnan"/>
        <s v="Heer Suri"/>
        <s v="Sana Mand"/>
        <s v="Ishaan Sengupta"/>
        <s v="Abram Khatri"/>
        <s v="Anahita Sidhu"/>
        <s v="Myra Ganesan"/>
        <s v="Nirvaan Loyal"/>
        <s v="Veer Brahmbhatt"/>
        <s v="Kaira Bhardwaj"/>
        <s v="Heer Ganesan"/>
        <s v="Lakshit Bassi"/>
        <s v="Rasha Bhavsar"/>
        <s v="Advik Ratti"/>
        <s v="Baiju Sane"/>
        <s v="Shayak Sane"/>
        <s v="Armaan Bassi"/>
        <s v="Darshit Sami"/>
        <s v="Advika Borah"/>
        <s v="Sumer Sandal"/>
        <s v="Saira Sridhar"/>
        <s v="Ivana Bhatti"/>
        <s v="Divyansh Bhatt"/>
      </sharedItems>
    </cacheField>
    <cacheField name="Age Group" numFmtId="0">
      <sharedItems count="5">
        <s v="15-18"/>
        <s v="19-30"/>
        <s v="31-45"/>
        <s v="46-65"/>
        <s v="65+"/>
      </sharedItems>
    </cacheField>
    <cacheField name="Gender" numFmtId="0">
      <sharedItems count="3">
        <s v="F"/>
        <s v="M"/>
        <s v="Non-binary"/>
      </sharedItems>
    </cacheField>
    <cacheField name="City" numFmtId="0">
      <sharedItems count="10">
        <s v="Ahmedabad"/>
        <s v="Pune"/>
        <s v="Hyderabad"/>
        <s v="Bangalore"/>
        <s v="Lucknow"/>
        <s v="Mumbai"/>
        <s v="Chennai"/>
        <s v="Jaipur"/>
        <s v="Kolkata"/>
        <s v="Delhi"/>
      </sharedItems>
    </cacheField>
    <cacheField name="Tier" numFmtId="0">
      <sharedItems count="2">
        <s v="Tier 2"/>
        <s v="Tier 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elcome" refreshedDate="46190.64198912037" createdVersion="3" refreshedVersion="3" minRefreshableVersion="3" recordCount="70">
  <cacheSource type="worksheet">
    <worksheetSource name="Table2"/>
  </cacheSource>
  <cacheFields count="11">
    <cacheField name="Response_ID" numFmtId="0">
      <sharedItems containsSemiMixedTypes="0" containsString="0" containsNumber="1" containsInteger="1" minValue="103001" maxValue="103070"/>
    </cacheField>
    <cacheField name="Respondent_ID" numFmtId="0">
      <sharedItems containsSemiMixedTypes="0" containsString="0" containsNumber="1" containsInteger="1" minValue="120031" maxValue="120100"/>
    </cacheField>
    <cacheField name="Current_Brands" numFmtId="0">
      <sharedItems count="7">
        <s v="Blue Bull"/>
        <s v="Bepsi"/>
        <s v="Sky 9"/>
        <s v="Cola-Coka"/>
        <s v="Gangster"/>
        <s v="Codex"/>
        <s v="Others"/>
      </sharedItems>
    </cacheField>
    <cacheField name="Taste_experience" numFmtId="49">
      <sharedItems containsSemiMixedTypes="0" containsString="0" containsNumber="1" containsInteger="1" minValue="1" maxValue="5"/>
    </cacheField>
    <cacheField name="Price_range" numFmtId="1">
      <sharedItems/>
    </cacheField>
    <cacheField name="Purchase_location" numFmtId="0">
      <sharedItems count="5">
        <s v="Supermarkets"/>
        <s v="Online retailers"/>
        <s v="Gyms and fitness centers"/>
        <s v="Other"/>
        <s v="Local stores"/>
      </sharedItems>
    </cacheField>
    <cacheField name="Respondents" numFmtId="0">
      <sharedItems count="70">
        <s v="Aniruddh Issac"/>
        <s v="Trisha Rout"/>
        <s v="Yuvraj  Virk"/>
        <s v="Pranay Chand"/>
        <s v="Mohanlal Joshi"/>
        <s v="Zeeshan Ratta"/>
        <s v="Oorja Anne"/>
        <s v="Rhea Khanna"/>
        <s v="Zara Joshi"/>
        <s v="Sana Dhawan"/>
        <s v="Misha Warrior"/>
        <s v="Kiara Chander"/>
        <s v="Kimaya Borde"/>
        <s v="Tushar Malhotra"/>
        <s v="Azad Gera"/>
        <s v="Aarav Bath"/>
        <s v="Ojas Char"/>
        <s v="Advik Baria"/>
        <s v="Dhruv Loyal"/>
        <s v="Dharmajan Doshi"/>
        <s v="Diya Srinivas"/>
        <s v="Alia Lala"/>
        <s v="Samaira Lad"/>
        <s v="Pari Subramaniam"/>
        <s v="Umang Sarkar"/>
        <s v="Rhea Kar"/>
        <s v="Kanav Thaman"/>
        <s v="Biju Bera"/>
        <s v="Sana Bumb"/>
        <s v="Piya Sani"/>
        <s v="Yuvaan Kari"/>
        <s v="Tanya Deshmukh"/>
        <s v="Diya Sunder"/>
        <s v="Shanaya Kadakia"/>
        <s v="Shamik Chaudry"/>
        <s v="Yashvi Deo"/>
        <s v="Eshani Bahl"/>
        <s v="Anahi Ganguly"/>
        <s v="Kismat Lata"/>
        <s v="Anya Gill"/>
        <s v="Pranay Tella"/>
        <s v="Parinaaz Goel"/>
        <s v="Divit Gandhi"/>
        <s v="Saanvi Reddy"/>
        <s v="Jhanvi Samra"/>
        <s v="Ryan Dasgupta"/>
        <s v="Tarini Acharya"/>
        <s v="Suhana Ramakrishnan"/>
        <s v="Heer Suri"/>
        <s v="Sana Mand"/>
        <s v="Ishaan Sengupta"/>
        <s v="Abram Khatri"/>
        <s v="Anahita Sidhu"/>
        <s v="Myra Ganesan"/>
        <s v="Nirvaan Loyal"/>
        <s v="Veer Brahmbhatt"/>
        <s v="Kaira Bhardwaj"/>
        <s v="Heer Ganesan"/>
        <s v="Lakshit Bassi"/>
        <s v="Rasha Bhavsar"/>
        <s v="Advik Ratti"/>
        <s v="Baiju Sane"/>
        <s v="Shayak Sane"/>
        <s v="Armaan Bassi"/>
        <s v="Darshit Sami"/>
        <s v="Advika Borah"/>
        <s v="Sumer Sandal"/>
        <s v="Saira Sridhar"/>
        <s v="Ivana Bhatti"/>
        <s v="Divyansh Bhatt"/>
      </sharedItems>
    </cacheField>
    <cacheField name="Age Group" numFmtId="0">
      <sharedItems count="5">
        <s v="15-18"/>
        <s v="19-30"/>
        <s v="31-45"/>
        <s v="46-65"/>
        <s v="65+"/>
      </sharedItems>
    </cacheField>
    <cacheField name="Gender" numFmtId="0">
      <sharedItems count="3">
        <s v="F"/>
        <s v="M"/>
        <s v="Non-binary"/>
      </sharedItems>
    </cacheField>
    <cacheField name="City" numFmtId="0">
      <sharedItems count="10">
        <s v="Ahmedabad"/>
        <s v="Pune"/>
        <s v="Hyderabad"/>
        <s v="Bangalore"/>
        <s v="Lucknow"/>
        <s v="Mumbai"/>
        <s v="Chennai"/>
        <s v="Jaipur"/>
        <s v="Kolkata"/>
        <s v="Delhi"/>
      </sharedItems>
    </cacheField>
    <cacheField name="Tier" numFmtId="0">
      <sharedItems count="2">
        <s v="Tier 2"/>
        <s v="Tier 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">
  <r>
    <n v="103001"/>
    <n v="120031"/>
    <x v="0"/>
    <x v="0"/>
    <x v="0"/>
    <x v="0"/>
    <x v="0"/>
    <x v="0"/>
    <x v="0"/>
    <x v="0"/>
    <x v="0"/>
  </r>
  <r>
    <n v="103002"/>
    <n v="120032"/>
    <x v="1"/>
    <x v="0"/>
    <x v="0"/>
    <x v="0"/>
    <x v="1"/>
    <x v="1"/>
    <x v="1"/>
    <x v="1"/>
    <x v="0"/>
  </r>
  <r>
    <n v="103003"/>
    <n v="120033"/>
    <x v="1"/>
    <x v="1"/>
    <x v="1"/>
    <x v="0"/>
    <x v="2"/>
    <x v="0"/>
    <x v="1"/>
    <x v="2"/>
    <x v="1"/>
  </r>
  <r>
    <n v="103004"/>
    <n v="120034"/>
    <x v="1"/>
    <x v="0"/>
    <x v="2"/>
    <x v="0"/>
    <x v="3"/>
    <x v="2"/>
    <x v="0"/>
    <x v="3"/>
    <x v="1"/>
  </r>
  <r>
    <n v="103005"/>
    <n v="120035"/>
    <x v="2"/>
    <x v="0"/>
    <x v="1"/>
    <x v="1"/>
    <x v="4"/>
    <x v="1"/>
    <x v="0"/>
    <x v="4"/>
    <x v="0"/>
  </r>
  <r>
    <n v="103006"/>
    <n v="120036"/>
    <x v="3"/>
    <x v="0"/>
    <x v="2"/>
    <x v="2"/>
    <x v="5"/>
    <x v="1"/>
    <x v="0"/>
    <x v="1"/>
    <x v="0"/>
  </r>
  <r>
    <n v="103007"/>
    <n v="120037"/>
    <x v="3"/>
    <x v="2"/>
    <x v="1"/>
    <x v="3"/>
    <x v="6"/>
    <x v="1"/>
    <x v="1"/>
    <x v="5"/>
    <x v="1"/>
  </r>
  <r>
    <n v="103008"/>
    <n v="120038"/>
    <x v="4"/>
    <x v="2"/>
    <x v="0"/>
    <x v="2"/>
    <x v="7"/>
    <x v="1"/>
    <x v="1"/>
    <x v="2"/>
    <x v="1"/>
  </r>
  <r>
    <n v="103009"/>
    <n v="120039"/>
    <x v="4"/>
    <x v="3"/>
    <x v="1"/>
    <x v="3"/>
    <x v="8"/>
    <x v="3"/>
    <x v="1"/>
    <x v="2"/>
    <x v="1"/>
  </r>
  <r>
    <n v="103010"/>
    <n v="120040"/>
    <x v="2"/>
    <x v="2"/>
    <x v="0"/>
    <x v="2"/>
    <x v="9"/>
    <x v="1"/>
    <x v="0"/>
    <x v="2"/>
    <x v="1"/>
  </r>
  <r>
    <n v="103011"/>
    <n v="120041"/>
    <x v="5"/>
    <x v="0"/>
    <x v="0"/>
    <x v="0"/>
    <x v="10"/>
    <x v="1"/>
    <x v="0"/>
    <x v="3"/>
    <x v="1"/>
  </r>
  <r>
    <n v="103012"/>
    <n v="120042"/>
    <x v="6"/>
    <x v="1"/>
    <x v="1"/>
    <x v="1"/>
    <x v="11"/>
    <x v="1"/>
    <x v="0"/>
    <x v="5"/>
    <x v="1"/>
  </r>
  <r>
    <n v="103013"/>
    <n v="120043"/>
    <x v="4"/>
    <x v="2"/>
    <x v="0"/>
    <x v="2"/>
    <x v="12"/>
    <x v="1"/>
    <x v="1"/>
    <x v="3"/>
    <x v="1"/>
  </r>
  <r>
    <n v="103014"/>
    <n v="120044"/>
    <x v="6"/>
    <x v="0"/>
    <x v="0"/>
    <x v="1"/>
    <x v="13"/>
    <x v="1"/>
    <x v="1"/>
    <x v="5"/>
    <x v="1"/>
  </r>
  <r>
    <n v="103015"/>
    <n v="120045"/>
    <x v="1"/>
    <x v="0"/>
    <x v="2"/>
    <x v="0"/>
    <x v="14"/>
    <x v="4"/>
    <x v="1"/>
    <x v="3"/>
    <x v="1"/>
  </r>
  <r>
    <n v="103016"/>
    <n v="120046"/>
    <x v="1"/>
    <x v="3"/>
    <x v="2"/>
    <x v="0"/>
    <x v="15"/>
    <x v="1"/>
    <x v="1"/>
    <x v="6"/>
    <x v="1"/>
  </r>
  <r>
    <n v="103017"/>
    <n v="120047"/>
    <x v="5"/>
    <x v="2"/>
    <x v="0"/>
    <x v="0"/>
    <x v="16"/>
    <x v="1"/>
    <x v="1"/>
    <x v="5"/>
    <x v="1"/>
  </r>
  <r>
    <n v="103018"/>
    <n v="120048"/>
    <x v="2"/>
    <x v="4"/>
    <x v="1"/>
    <x v="1"/>
    <x v="17"/>
    <x v="1"/>
    <x v="1"/>
    <x v="2"/>
    <x v="1"/>
  </r>
  <r>
    <n v="103019"/>
    <n v="120049"/>
    <x v="1"/>
    <x v="2"/>
    <x v="0"/>
    <x v="4"/>
    <x v="18"/>
    <x v="1"/>
    <x v="0"/>
    <x v="3"/>
    <x v="1"/>
  </r>
  <r>
    <n v="103020"/>
    <n v="120050"/>
    <x v="6"/>
    <x v="1"/>
    <x v="0"/>
    <x v="3"/>
    <x v="19"/>
    <x v="2"/>
    <x v="0"/>
    <x v="6"/>
    <x v="1"/>
  </r>
  <r>
    <n v="103021"/>
    <n v="120051"/>
    <x v="4"/>
    <x v="3"/>
    <x v="0"/>
    <x v="1"/>
    <x v="20"/>
    <x v="1"/>
    <x v="1"/>
    <x v="1"/>
    <x v="0"/>
  </r>
  <r>
    <n v="103022"/>
    <n v="120052"/>
    <x v="4"/>
    <x v="2"/>
    <x v="0"/>
    <x v="0"/>
    <x v="21"/>
    <x v="2"/>
    <x v="2"/>
    <x v="5"/>
    <x v="1"/>
  </r>
  <r>
    <n v="103023"/>
    <n v="120053"/>
    <x v="3"/>
    <x v="3"/>
    <x v="0"/>
    <x v="1"/>
    <x v="22"/>
    <x v="1"/>
    <x v="1"/>
    <x v="5"/>
    <x v="1"/>
  </r>
  <r>
    <n v="103024"/>
    <n v="120054"/>
    <x v="1"/>
    <x v="4"/>
    <x v="1"/>
    <x v="1"/>
    <x v="23"/>
    <x v="1"/>
    <x v="1"/>
    <x v="6"/>
    <x v="1"/>
  </r>
  <r>
    <n v="103025"/>
    <n v="120055"/>
    <x v="3"/>
    <x v="3"/>
    <x v="2"/>
    <x v="2"/>
    <x v="24"/>
    <x v="2"/>
    <x v="2"/>
    <x v="0"/>
    <x v="0"/>
  </r>
  <r>
    <n v="103026"/>
    <n v="120056"/>
    <x v="3"/>
    <x v="4"/>
    <x v="0"/>
    <x v="2"/>
    <x v="25"/>
    <x v="1"/>
    <x v="1"/>
    <x v="1"/>
    <x v="0"/>
  </r>
  <r>
    <n v="103027"/>
    <n v="120057"/>
    <x v="4"/>
    <x v="1"/>
    <x v="0"/>
    <x v="1"/>
    <x v="26"/>
    <x v="1"/>
    <x v="1"/>
    <x v="0"/>
    <x v="0"/>
  </r>
  <r>
    <n v="103028"/>
    <n v="120058"/>
    <x v="2"/>
    <x v="0"/>
    <x v="1"/>
    <x v="0"/>
    <x v="27"/>
    <x v="1"/>
    <x v="0"/>
    <x v="7"/>
    <x v="0"/>
  </r>
  <r>
    <n v="103029"/>
    <n v="120059"/>
    <x v="6"/>
    <x v="3"/>
    <x v="3"/>
    <x v="3"/>
    <x v="28"/>
    <x v="1"/>
    <x v="1"/>
    <x v="3"/>
    <x v="1"/>
  </r>
  <r>
    <n v="103030"/>
    <n v="120060"/>
    <x v="4"/>
    <x v="2"/>
    <x v="0"/>
    <x v="1"/>
    <x v="29"/>
    <x v="1"/>
    <x v="1"/>
    <x v="1"/>
    <x v="0"/>
  </r>
  <r>
    <n v="103031"/>
    <n v="120061"/>
    <x v="4"/>
    <x v="4"/>
    <x v="2"/>
    <x v="2"/>
    <x v="30"/>
    <x v="1"/>
    <x v="1"/>
    <x v="2"/>
    <x v="1"/>
  </r>
  <r>
    <n v="103032"/>
    <n v="120062"/>
    <x v="3"/>
    <x v="2"/>
    <x v="3"/>
    <x v="0"/>
    <x v="31"/>
    <x v="1"/>
    <x v="1"/>
    <x v="2"/>
    <x v="1"/>
  </r>
  <r>
    <n v="103033"/>
    <n v="120063"/>
    <x v="5"/>
    <x v="3"/>
    <x v="0"/>
    <x v="0"/>
    <x v="32"/>
    <x v="1"/>
    <x v="1"/>
    <x v="6"/>
    <x v="1"/>
  </r>
  <r>
    <n v="103034"/>
    <n v="120064"/>
    <x v="4"/>
    <x v="2"/>
    <x v="2"/>
    <x v="0"/>
    <x v="33"/>
    <x v="0"/>
    <x v="1"/>
    <x v="1"/>
    <x v="0"/>
  </r>
  <r>
    <n v="103035"/>
    <n v="120065"/>
    <x v="5"/>
    <x v="1"/>
    <x v="0"/>
    <x v="0"/>
    <x v="34"/>
    <x v="1"/>
    <x v="1"/>
    <x v="8"/>
    <x v="0"/>
  </r>
  <r>
    <n v="103036"/>
    <n v="120066"/>
    <x v="5"/>
    <x v="1"/>
    <x v="1"/>
    <x v="0"/>
    <x v="35"/>
    <x v="1"/>
    <x v="0"/>
    <x v="2"/>
    <x v="1"/>
  </r>
  <r>
    <n v="103037"/>
    <n v="120067"/>
    <x v="3"/>
    <x v="3"/>
    <x v="0"/>
    <x v="1"/>
    <x v="36"/>
    <x v="4"/>
    <x v="1"/>
    <x v="1"/>
    <x v="0"/>
  </r>
  <r>
    <n v="103038"/>
    <n v="120068"/>
    <x v="0"/>
    <x v="4"/>
    <x v="1"/>
    <x v="0"/>
    <x v="37"/>
    <x v="0"/>
    <x v="0"/>
    <x v="2"/>
    <x v="1"/>
  </r>
  <r>
    <n v="103039"/>
    <n v="120069"/>
    <x v="1"/>
    <x v="1"/>
    <x v="0"/>
    <x v="0"/>
    <x v="38"/>
    <x v="1"/>
    <x v="0"/>
    <x v="5"/>
    <x v="1"/>
  </r>
  <r>
    <n v="103040"/>
    <n v="120070"/>
    <x v="5"/>
    <x v="0"/>
    <x v="1"/>
    <x v="2"/>
    <x v="39"/>
    <x v="2"/>
    <x v="1"/>
    <x v="2"/>
    <x v="1"/>
  </r>
  <r>
    <n v="103041"/>
    <n v="120071"/>
    <x v="1"/>
    <x v="3"/>
    <x v="1"/>
    <x v="0"/>
    <x v="40"/>
    <x v="0"/>
    <x v="0"/>
    <x v="3"/>
    <x v="1"/>
  </r>
  <r>
    <n v="103042"/>
    <n v="120072"/>
    <x v="2"/>
    <x v="2"/>
    <x v="2"/>
    <x v="0"/>
    <x v="41"/>
    <x v="3"/>
    <x v="2"/>
    <x v="1"/>
    <x v="0"/>
  </r>
  <r>
    <n v="103043"/>
    <n v="120073"/>
    <x v="0"/>
    <x v="4"/>
    <x v="0"/>
    <x v="1"/>
    <x v="42"/>
    <x v="1"/>
    <x v="0"/>
    <x v="2"/>
    <x v="1"/>
  </r>
  <r>
    <n v="103044"/>
    <n v="120074"/>
    <x v="3"/>
    <x v="2"/>
    <x v="0"/>
    <x v="2"/>
    <x v="43"/>
    <x v="1"/>
    <x v="0"/>
    <x v="5"/>
    <x v="1"/>
  </r>
  <r>
    <n v="103045"/>
    <n v="120075"/>
    <x v="1"/>
    <x v="1"/>
    <x v="0"/>
    <x v="0"/>
    <x v="44"/>
    <x v="2"/>
    <x v="1"/>
    <x v="3"/>
    <x v="1"/>
  </r>
  <r>
    <n v="103046"/>
    <n v="120076"/>
    <x v="4"/>
    <x v="2"/>
    <x v="0"/>
    <x v="0"/>
    <x v="45"/>
    <x v="1"/>
    <x v="1"/>
    <x v="3"/>
    <x v="1"/>
  </r>
  <r>
    <n v="103047"/>
    <n v="120077"/>
    <x v="3"/>
    <x v="2"/>
    <x v="0"/>
    <x v="0"/>
    <x v="46"/>
    <x v="1"/>
    <x v="1"/>
    <x v="2"/>
    <x v="1"/>
  </r>
  <r>
    <n v="103048"/>
    <n v="120078"/>
    <x v="6"/>
    <x v="3"/>
    <x v="1"/>
    <x v="0"/>
    <x v="47"/>
    <x v="1"/>
    <x v="0"/>
    <x v="0"/>
    <x v="0"/>
  </r>
  <r>
    <n v="103049"/>
    <n v="120079"/>
    <x v="1"/>
    <x v="2"/>
    <x v="0"/>
    <x v="0"/>
    <x v="48"/>
    <x v="2"/>
    <x v="0"/>
    <x v="3"/>
    <x v="1"/>
  </r>
  <r>
    <n v="103050"/>
    <n v="120080"/>
    <x v="1"/>
    <x v="0"/>
    <x v="0"/>
    <x v="2"/>
    <x v="49"/>
    <x v="1"/>
    <x v="1"/>
    <x v="3"/>
    <x v="1"/>
  </r>
  <r>
    <n v="103051"/>
    <n v="120081"/>
    <x v="2"/>
    <x v="3"/>
    <x v="2"/>
    <x v="1"/>
    <x v="50"/>
    <x v="1"/>
    <x v="0"/>
    <x v="4"/>
    <x v="0"/>
  </r>
  <r>
    <n v="103052"/>
    <n v="120082"/>
    <x v="1"/>
    <x v="3"/>
    <x v="1"/>
    <x v="0"/>
    <x v="51"/>
    <x v="2"/>
    <x v="0"/>
    <x v="3"/>
    <x v="1"/>
  </r>
  <r>
    <n v="103053"/>
    <n v="120083"/>
    <x v="3"/>
    <x v="1"/>
    <x v="1"/>
    <x v="3"/>
    <x v="52"/>
    <x v="2"/>
    <x v="0"/>
    <x v="3"/>
    <x v="1"/>
  </r>
  <r>
    <n v="103054"/>
    <n v="120084"/>
    <x v="1"/>
    <x v="1"/>
    <x v="0"/>
    <x v="1"/>
    <x v="53"/>
    <x v="0"/>
    <x v="1"/>
    <x v="5"/>
    <x v="1"/>
  </r>
  <r>
    <n v="103055"/>
    <n v="120085"/>
    <x v="2"/>
    <x v="0"/>
    <x v="2"/>
    <x v="0"/>
    <x v="54"/>
    <x v="1"/>
    <x v="1"/>
    <x v="5"/>
    <x v="1"/>
  </r>
  <r>
    <n v="103056"/>
    <n v="120086"/>
    <x v="3"/>
    <x v="4"/>
    <x v="0"/>
    <x v="0"/>
    <x v="55"/>
    <x v="2"/>
    <x v="1"/>
    <x v="7"/>
    <x v="0"/>
  </r>
  <r>
    <n v="103057"/>
    <n v="120087"/>
    <x v="1"/>
    <x v="4"/>
    <x v="0"/>
    <x v="2"/>
    <x v="56"/>
    <x v="0"/>
    <x v="0"/>
    <x v="3"/>
    <x v="1"/>
  </r>
  <r>
    <n v="103058"/>
    <n v="120088"/>
    <x v="3"/>
    <x v="3"/>
    <x v="1"/>
    <x v="0"/>
    <x v="57"/>
    <x v="2"/>
    <x v="1"/>
    <x v="2"/>
    <x v="1"/>
  </r>
  <r>
    <n v="103059"/>
    <n v="120089"/>
    <x v="1"/>
    <x v="2"/>
    <x v="0"/>
    <x v="0"/>
    <x v="58"/>
    <x v="0"/>
    <x v="1"/>
    <x v="2"/>
    <x v="1"/>
  </r>
  <r>
    <n v="103060"/>
    <n v="120090"/>
    <x v="3"/>
    <x v="2"/>
    <x v="0"/>
    <x v="0"/>
    <x v="59"/>
    <x v="1"/>
    <x v="1"/>
    <x v="3"/>
    <x v="1"/>
  </r>
  <r>
    <n v="103061"/>
    <n v="120091"/>
    <x v="0"/>
    <x v="2"/>
    <x v="1"/>
    <x v="2"/>
    <x v="60"/>
    <x v="2"/>
    <x v="0"/>
    <x v="2"/>
    <x v="1"/>
  </r>
  <r>
    <n v="103062"/>
    <n v="120092"/>
    <x v="1"/>
    <x v="2"/>
    <x v="1"/>
    <x v="0"/>
    <x v="61"/>
    <x v="1"/>
    <x v="1"/>
    <x v="3"/>
    <x v="1"/>
  </r>
  <r>
    <n v="103063"/>
    <n v="120093"/>
    <x v="1"/>
    <x v="2"/>
    <x v="0"/>
    <x v="0"/>
    <x v="62"/>
    <x v="2"/>
    <x v="0"/>
    <x v="1"/>
    <x v="0"/>
  </r>
  <r>
    <n v="103064"/>
    <n v="120094"/>
    <x v="0"/>
    <x v="1"/>
    <x v="0"/>
    <x v="2"/>
    <x v="63"/>
    <x v="2"/>
    <x v="2"/>
    <x v="9"/>
    <x v="1"/>
  </r>
  <r>
    <n v="103065"/>
    <n v="120095"/>
    <x v="3"/>
    <x v="2"/>
    <x v="0"/>
    <x v="0"/>
    <x v="64"/>
    <x v="1"/>
    <x v="1"/>
    <x v="3"/>
    <x v="1"/>
  </r>
  <r>
    <n v="103066"/>
    <n v="120096"/>
    <x v="3"/>
    <x v="3"/>
    <x v="0"/>
    <x v="2"/>
    <x v="65"/>
    <x v="1"/>
    <x v="1"/>
    <x v="3"/>
    <x v="1"/>
  </r>
  <r>
    <n v="103067"/>
    <n v="120097"/>
    <x v="4"/>
    <x v="1"/>
    <x v="3"/>
    <x v="1"/>
    <x v="66"/>
    <x v="0"/>
    <x v="0"/>
    <x v="5"/>
    <x v="1"/>
  </r>
  <r>
    <n v="103068"/>
    <n v="120098"/>
    <x v="0"/>
    <x v="2"/>
    <x v="1"/>
    <x v="3"/>
    <x v="67"/>
    <x v="1"/>
    <x v="1"/>
    <x v="0"/>
    <x v="0"/>
  </r>
  <r>
    <n v="103069"/>
    <n v="120099"/>
    <x v="0"/>
    <x v="2"/>
    <x v="3"/>
    <x v="0"/>
    <x v="68"/>
    <x v="0"/>
    <x v="2"/>
    <x v="1"/>
    <x v="0"/>
  </r>
  <r>
    <n v="103070"/>
    <n v="120100"/>
    <x v="4"/>
    <x v="1"/>
    <x v="0"/>
    <x v="2"/>
    <x v="69"/>
    <x v="1"/>
    <x v="1"/>
    <x v="6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0">
  <r>
    <n v="103001"/>
    <n v="120031"/>
    <x v="0"/>
    <n v="5"/>
    <s v="50-99"/>
    <x v="0"/>
    <x v="0"/>
    <x v="0"/>
    <x v="0"/>
    <x v="0"/>
    <x v="0"/>
  </r>
  <r>
    <n v="103002"/>
    <n v="120032"/>
    <x v="1"/>
    <n v="5"/>
    <s v="50-99"/>
    <x v="0"/>
    <x v="1"/>
    <x v="1"/>
    <x v="1"/>
    <x v="1"/>
    <x v="0"/>
  </r>
  <r>
    <n v="103003"/>
    <n v="120033"/>
    <x v="1"/>
    <n v="2"/>
    <s v="100-150"/>
    <x v="0"/>
    <x v="2"/>
    <x v="0"/>
    <x v="1"/>
    <x v="2"/>
    <x v="1"/>
  </r>
  <r>
    <n v="103004"/>
    <n v="120034"/>
    <x v="1"/>
    <n v="5"/>
    <s v="Above 150"/>
    <x v="0"/>
    <x v="3"/>
    <x v="2"/>
    <x v="0"/>
    <x v="3"/>
    <x v="1"/>
  </r>
  <r>
    <n v="103005"/>
    <n v="120035"/>
    <x v="2"/>
    <n v="5"/>
    <s v="100-150"/>
    <x v="1"/>
    <x v="4"/>
    <x v="1"/>
    <x v="0"/>
    <x v="4"/>
    <x v="0"/>
  </r>
  <r>
    <n v="103006"/>
    <n v="120036"/>
    <x v="3"/>
    <n v="5"/>
    <s v="Above 150"/>
    <x v="2"/>
    <x v="5"/>
    <x v="1"/>
    <x v="0"/>
    <x v="1"/>
    <x v="0"/>
  </r>
  <r>
    <n v="103007"/>
    <n v="120037"/>
    <x v="3"/>
    <n v="4"/>
    <s v="100-150"/>
    <x v="3"/>
    <x v="6"/>
    <x v="1"/>
    <x v="1"/>
    <x v="5"/>
    <x v="1"/>
  </r>
  <r>
    <n v="103008"/>
    <n v="120038"/>
    <x v="4"/>
    <n v="4"/>
    <s v="50-99"/>
    <x v="2"/>
    <x v="7"/>
    <x v="1"/>
    <x v="1"/>
    <x v="2"/>
    <x v="1"/>
  </r>
  <r>
    <n v="103009"/>
    <n v="120039"/>
    <x v="4"/>
    <n v="3"/>
    <s v="100-150"/>
    <x v="3"/>
    <x v="8"/>
    <x v="3"/>
    <x v="1"/>
    <x v="2"/>
    <x v="1"/>
  </r>
  <r>
    <n v="103010"/>
    <n v="120040"/>
    <x v="2"/>
    <n v="4"/>
    <s v="50-99"/>
    <x v="2"/>
    <x v="9"/>
    <x v="1"/>
    <x v="0"/>
    <x v="2"/>
    <x v="1"/>
  </r>
  <r>
    <n v="103011"/>
    <n v="120041"/>
    <x v="5"/>
    <n v="5"/>
    <s v="50-99"/>
    <x v="0"/>
    <x v="10"/>
    <x v="1"/>
    <x v="0"/>
    <x v="3"/>
    <x v="1"/>
  </r>
  <r>
    <n v="103012"/>
    <n v="120042"/>
    <x v="6"/>
    <n v="2"/>
    <s v="100-150"/>
    <x v="1"/>
    <x v="11"/>
    <x v="1"/>
    <x v="0"/>
    <x v="5"/>
    <x v="1"/>
  </r>
  <r>
    <n v="103013"/>
    <n v="120043"/>
    <x v="4"/>
    <n v="4"/>
    <s v="50-99"/>
    <x v="2"/>
    <x v="12"/>
    <x v="1"/>
    <x v="1"/>
    <x v="3"/>
    <x v="1"/>
  </r>
  <r>
    <n v="103014"/>
    <n v="120044"/>
    <x v="6"/>
    <n v="5"/>
    <s v="50-99"/>
    <x v="1"/>
    <x v="13"/>
    <x v="1"/>
    <x v="1"/>
    <x v="5"/>
    <x v="1"/>
  </r>
  <r>
    <n v="103015"/>
    <n v="120045"/>
    <x v="1"/>
    <n v="5"/>
    <s v="Above 150"/>
    <x v="0"/>
    <x v="14"/>
    <x v="4"/>
    <x v="1"/>
    <x v="3"/>
    <x v="1"/>
  </r>
  <r>
    <n v="103016"/>
    <n v="120046"/>
    <x v="1"/>
    <n v="3"/>
    <s v="Above 150"/>
    <x v="0"/>
    <x v="15"/>
    <x v="1"/>
    <x v="1"/>
    <x v="6"/>
    <x v="1"/>
  </r>
  <r>
    <n v="103017"/>
    <n v="120047"/>
    <x v="5"/>
    <n v="4"/>
    <s v="50-99"/>
    <x v="0"/>
    <x v="16"/>
    <x v="1"/>
    <x v="1"/>
    <x v="5"/>
    <x v="1"/>
  </r>
  <r>
    <n v="103018"/>
    <n v="120048"/>
    <x v="2"/>
    <n v="1"/>
    <s v="100-150"/>
    <x v="1"/>
    <x v="17"/>
    <x v="1"/>
    <x v="1"/>
    <x v="2"/>
    <x v="1"/>
  </r>
  <r>
    <n v="103019"/>
    <n v="120049"/>
    <x v="1"/>
    <n v="4"/>
    <s v="50-99"/>
    <x v="4"/>
    <x v="18"/>
    <x v="1"/>
    <x v="0"/>
    <x v="3"/>
    <x v="1"/>
  </r>
  <r>
    <n v="103020"/>
    <n v="120050"/>
    <x v="6"/>
    <n v="2"/>
    <s v="50-99"/>
    <x v="3"/>
    <x v="19"/>
    <x v="2"/>
    <x v="0"/>
    <x v="6"/>
    <x v="1"/>
  </r>
  <r>
    <n v="103021"/>
    <n v="120051"/>
    <x v="4"/>
    <n v="3"/>
    <s v="50-99"/>
    <x v="1"/>
    <x v="20"/>
    <x v="1"/>
    <x v="1"/>
    <x v="1"/>
    <x v="0"/>
  </r>
  <r>
    <n v="103022"/>
    <n v="120052"/>
    <x v="4"/>
    <n v="4"/>
    <s v="50-99"/>
    <x v="0"/>
    <x v="21"/>
    <x v="2"/>
    <x v="2"/>
    <x v="5"/>
    <x v="1"/>
  </r>
  <r>
    <n v="103023"/>
    <n v="120053"/>
    <x v="3"/>
    <n v="3"/>
    <s v="50-99"/>
    <x v="1"/>
    <x v="22"/>
    <x v="1"/>
    <x v="1"/>
    <x v="5"/>
    <x v="1"/>
  </r>
  <r>
    <n v="103024"/>
    <n v="120054"/>
    <x v="1"/>
    <n v="1"/>
    <s v="100-150"/>
    <x v="1"/>
    <x v="23"/>
    <x v="1"/>
    <x v="1"/>
    <x v="6"/>
    <x v="1"/>
  </r>
  <r>
    <n v="103025"/>
    <n v="120055"/>
    <x v="3"/>
    <n v="3"/>
    <s v="Above 150"/>
    <x v="2"/>
    <x v="24"/>
    <x v="2"/>
    <x v="2"/>
    <x v="0"/>
    <x v="0"/>
  </r>
  <r>
    <n v="103026"/>
    <n v="120056"/>
    <x v="3"/>
    <n v="1"/>
    <s v="50-99"/>
    <x v="2"/>
    <x v="25"/>
    <x v="1"/>
    <x v="1"/>
    <x v="1"/>
    <x v="0"/>
  </r>
  <r>
    <n v="103027"/>
    <n v="120057"/>
    <x v="4"/>
    <n v="2"/>
    <s v="50-99"/>
    <x v="1"/>
    <x v="26"/>
    <x v="1"/>
    <x v="1"/>
    <x v="0"/>
    <x v="0"/>
  </r>
  <r>
    <n v="103028"/>
    <n v="120058"/>
    <x v="2"/>
    <n v="5"/>
    <s v="100-150"/>
    <x v="0"/>
    <x v="27"/>
    <x v="1"/>
    <x v="0"/>
    <x v="7"/>
    <x v="0"/>
  </r>
  <r>
    <n v="103029"/>
    <n v="120059"/>
    <x v="6"/>
    <n v="3"/>
    <s v="Below 50"/>
    <x v="3"/>
    <x v="28"/>
    <x v="1"/>
    <x v="1"/>
    <x v="3"/>
    <x v="1"/>
  </r>
  <r>
    <n v="103030"/>
    <n v="120060"/>
    <x v="4"/>
    <n v="4"/>
    <s v="50-99"/>
    <x v="1"/>
    <x v="29"/>
    <x v="1"/>
    <x v="1"/>
    <x v="1"/>
    <x v="0"/>
  </r>
  <r>
    <n v="103031"/>
    <n v="120061"/>
    <x v="4"/>
    <n v="1"/>
    <s v="Above 150"/>
    <x v="2"/>
    <x v="30"/>
    <x v="1"/>
    <x v="1"/>
    <x v="2"/>
    <x v="1"/>
  </r>
  <r>
    <n v="103032"/>
    <n v="120062"/>
    <x v="3"/>
    <n v="4"/>
    <s v="Below 50"/>
    <x v="0"/>
    <x v="31"/>
    <x v="1"/>
    <x v="1"/>
    <x v="2"/>
    <x v="1"/>
  </r>
  <r>
    <n v="103033"/>
    <n v="120063"/>
    <x v="5"/>
    <n v="3"/>
    <s v="50-99"/>
    <x v="0"/>
    <x v="32"/>
    <x v="1"/>
    <x v="1"/>
    <x v="6"/>
    <x v="1"/>
  </r>
  <r>
    <n v="103034"/>
    <n v="120064"/>
    <x v="4"/>
    <n v="4"/>
    <s v="Above 150"/>
    <x v="0"/>
    <x v="33"/>
    <x v="0"/>
    <x v="1"/>
    <x v="1"/>
    <x v="0"/>
  </r>
  <r>
    <n v="103035"/>
    <n v="120065"/>
    <x v="5"/>
    <n v="2"/>
    <s v="50-99"/>
    <x v="0"/>
    <x v="34"/>
    <x v="1"/>
    <x v="1"/>
    <x v="8"/>
    <x v="0"/>
  </r>
  <r>
    <n v="103036"/>
    <n v="120066"/>
    <x v="5"/>
    <n v="2"/>
    <s v="100-150"/>
    <x v="0"/>
    <x v="35"/>
    <x v="1"/>
    <x v="0"/>
    <x v="2"/>
    <x v="1"/>
  </r>
  <r>
    <n v="103037"/>
    <n v="120067"/>
    <x v="3"/>
    <n v="3"/>
    <s v="50-99"/>
    <x v="1"/>
    <x v="36"/>
    <x v="4"/>
    <x v="1"/>
    <x v="1"/>
    <x v="0"/>
  </r>
  <r>
    <n v="103038"/>
    <n v="120068"/>
    <x v="0"/>
    <n v="1"/>
    <s v="100-150"/>
    <x v="0"/>
    <x v="37"/>
    <x v="0"/>
    <x v="0"/>
    <x v="2"/>
    <x v="1"/>
  </r>
  <r>
    <n v="103039"/>
    <n v="120069"/>
    <x v="1"/>
    <n v="2"/>
    <s v="50-99"/>
    <x v="0"/>
    <x v="38"/>
    <x v="1"/>
    <x v="0"/>
    <x v="5"/>
    <x v="1"/>
  </r>
  <r>
    <n v="103040"/>
    <n v="120070"/>
    <x v="5"/>
    <n v="5"/>
    <s v="100-150"/>
    <x v="2"/>
    <x v="39"/>
    <x v="2"/>
    <x v="1"/>
    <x v="2"/>
    <x v="1"/>
  </r>
  <r>
    <n v="103041"/>
    <n v="120071"/>
    <x v="1"/>
    <n v="3"/>
    <s v="100-150"/>
    <x v="0"/>
    <x v="40"/>
    <x v="0"/>
    <x v="0"/>
    <x v="3"/>
    <x v="1"/>
  </r>
  <r>
    <n v="103042"/>
    <n v="120072"/>
    <x v="2"/>
    <n v="4"/>
    <s v="Above 150"/>
    <x v="0"/>
    <x v="41"/>
    <x v="3"/>
    <x v="2"/>
    <x v="1"/>
    <x v="0"/>
  </r>
  <r>
    <n v="103043"/>
    <n v="120073"/>
    <x v="0"/>
    <n v="1"/>
    <s v="50-99"/>
    <x v="1"/>
    <x v="42"/>
    <x v="1"/>
    <x v="0"/>
    <x v="2"/>
    <x v="1"/>
  </r>
  <r>
    <n v="103044"/>
    <n v="120074"/>
    <x v="3"/>
    <n v="4"/>
    <s v="50-99"/>
    <x v="2"/>
    <x v="43"/>
    <x v="1"/>
    <x v="0"/>
    <x v="5"/>
    <x v="1"/>
  </r>
  <r>
    <n v="103045"/>
    <n v="120075"/>
    <x v="1"/>
    <n v="2"/>
    <s v="50-99"/>
    <x v="0"/>
    <x v="44"/>
    <x v="2"/>
    <x v="1"/>
    <x v="3"/>
    <x v="1"/>
  </r>
  <r>
    <n v="103046"/>
    <n v="120076"/>
    <x v="4"/>
    <n v="4"/>
    <s v="50-99"/>
    <x v="0"/>
    <x v="45"/>
    <x v="1"/>
    <x v="1"/>
    <x v="3"/>
    <x v="1"/>
  </r>
  <r>
    <n v="103047"/>
    <n v="120077"/>
    <x v="3"/>
    <n v="4"/>
    <s v="50-99"/>
    <x v="0"/>
    <x v="46"/>
    <x v="1"/>
    <x v="1"/>
    <x v="2"/>
    <x v="1"/>
  </r>
  <r>
    <n v="103048"/>
    <n v="120078"/>
    <x v="6"/>
    <n v="3"/>
    <s v="100-150"/>
    <x v="0"/>
    <x v="47"/>
    <x v="1"/>
    <x v="0"/>
    <x v="0"/>
    <x v="0"/>
  </r>
  <r>
    <n v="103049"/>
    <n v="120079"/>
    <x v="1"/>
    <n v="4"/>
    <s v="50-99"/>
    <x v="0"/>
    <x v="48"/>
    <x v="2"/>
    <x v="0"/>
    <x v="3"/>
    <x v="1"/>
  </r>
  <r>
    <n v="103050"/>
    <n v="120080"/>
    <x v="1"/>
    <n v="5"/>
    <s v="50-99"/>
    <x v="2"/>
    <x v="49"/>
    <x v="1"/>
    <x v="1"/>
    <x v="3"/>
    <x v="1"/>
  </r>
  <r>
    <n v="103051"/>
    <n v="120081"/>
    <x v="2"/>
    <n v="3"/>
    <s v="Above 150"/>
    <x v="1"/>
    <x v="50"/>
    <x v="1"/>
    <x v="0"/>
    <x v="4"/>
    <x v="0"/>
  </r>
  <r>
    <n v="103052"/>
    <n v="120082"/>
    <x v="1"/>
    <n v="3"/>
    <s v="100-150"/>
    <x v="0"/>
    <x v="51"/>
    <x v="2"/>
    <x v="0"/>
    <x v="3"/>
    <x v="1"/>
  </r>
  <r>
    <n v="103053"/>
    <n v="120083"/>
    <x v="3"/>
    <n v="2"/>
    <s v="100-150"/>
    <x v="3"/>
    <x v="52"/>
    <x v="2"/>
    <x v="0"/>
    <x v="3"/>
    <x v="1"/>
  </r>
  <r>
    <n v="103054"/>
    <n v="120084"/>
    <x v="1"/>
    <n v="2"/>
    <s v="50-99"/>
    <x v="1"/>
    <x v="53"/>
    <x v="0"/>
    <x v="1"/>
    <x v="5"/>
    <x v="1"/>
  </r>
  <r>
    <n v="103055"/>
    <n v="120085"/>
    <x v="2"/>
    <n v="5"/>
    <s v="Above 150"/>
    <x v="0"/>
    <x v="54"/>
    <x v="1"/>
    <x v="1"/>
    <x v="5"/>
    <x v="1"/>
  </r>
  <r>
    <n v="103056"/>
    <n v="120086"/>
    <x v="3"/>
    <n v="1"/>
    <s v="50-99"/>
    <x v="0"/>
    <x v="55"/>
    <x v="2"/>
    <x v="1"/>
    <x v="7"/>
    <x v="0"/>
  </r>
  <r>
    <n v="103057"/>
    <n v="120087"/>
    <x v="1"/>
    <n v="1"/>
    <s v="50-99"/>
    <x v="2"/>
    <x v="56"/>
    <x v="0"/>
    <x v="0"/>
    <x v="3"/>
    <x v="1"/>
  </r>
  <r>
    <n v="103058"/>
    <n v="120088"/>
    <x v="3"/>
    <n v="3"/>
    <s v="100-150"/>
    <x v="0"/>
    <x v="57"/>
    <x v="2"/>
    <x v="1"/>
    <x v="2"/>
    <x v="1"/>
  </r>
  <r>
    <n v="103059"/>
    <n v="120089"/>
    <x v="1"/>
    <n v="4"/>
    <s v="50-99"/>
    <x v="0"/>
    <x v="58"/>
    <x v="0"/>
    <x v="1"/>
    <x v="2"/>
    <x v="1"/>
  </r>
  <r>
    <n v="103060"/>
    <n v="120090"/>
    <x v="3"/>
    <n v="4"/>
    <s v="50-99"/>
    <x v="0"/>
    <x v="59"/>
    <x v="1"/>
    <x v="1"/>
    <x v="3"/>
    <x v="1"/>
  </r>
  <r>
    <n v="103061"/>
    <n v="120091"/>
    <x v="0"/>
    <n v="4"/>
    <s v="100-150"/>
    <x v="2"/>
    <x v="60"/>
    <x v="2"/>
    <x v="0"/>
    <x v="2"/>
    <x v="1"/>
  </r>
  <r>
    <n v="103062"/>
    <n v="120092"/>
    <x v="1"/>
    <n v="4"/>
    <s v="100-150"/>
    <x v="0"/>
    <x v="61"/>
    <x v="1"/>
    <x v="1"/>
    <x v="3"/>
    <x v="1"/>
  </r>
  <r>
    <n v="103063"/>
    <n v="120093"/>
    <x v="1"/>
    <n v="4"/>
    <s v="50-99"/>
    <x v="0"/>
    <x v="62"/>
    <x v="2"/>
    <x v="0"/>
    <x v="1"/>
    <x v="0"/>
  </r>
  <r>
    <n v="103064"/>
    <n v="120094"/>
    <x v="0"/>
    <n v="2"/>
    <s v="50-99"/>
    <x v="2"/>
    <x v="63"/>
    <x v="2"/>
    <x v="2"/>
    <x v="9"/>
    <x v="1"/>
  </r>
  <r>
    <n v="103065"/>
    <n v="120095"/>
    <x v="3"/>
    <n v="4"/>
    <s v="50-99"/>
    <x v="0"/>
    <x v="64"/>
    <x v="1"/>
    <x v="1"/>
    <x v="3"/>
    <x v="1"/>
  </r>
  <r>
    <n v="103066"/>
    <n v="120096"/>
    <x v="3"/>
    <n v="3"/>
    <s v="50-99"/>
    <x v="2"/>
    <x v="65"/>
    <x v="1"/>
    <x v="1"/>
    <x v="3"/>
    <x v="1"/>
  </r>
  <r>
    <n v="103067"/>
    <n v="120097"/>
    <x v="4"/>
    <n v="2"/>
    <s v="Below 50"/>
    <x v="1"/>
    <x v="66"/>
    <x v="0"/>
    <x v="0"/>
    <x v="5"/>
    <x v="1"/>
  </r>
  <r>
    <n v="103068"/>
    <n v="120098"/>
    <x v="0"/>
    <n v="4"/>
    <s v="100-150"/>
    <x v="3"/>
    <x v="67"/>
    <x v="1"/>
    <x v="1"/>
    <x v="0"/>
    <x v="0"/>
  </r>
  <r>
    <n v="103069"/>
    <n v="120099"/>
    <x v="0"/>
    <n v="4"/>
    <s v="Below 50"/>
    <x v="0"/>
    <x v="68"/>
    <x v="0"/>
    <x v="2"/>
    <x v="1"/>
    <x v="0"/>
  </r>
  <r>
    <n v="103070"/>
    <n v="120100"/>
    <x v="4"/>
    <n v="2"/>
    <s v="50-99"/>
    <x v="2"/>
    <x v="69"/>
    <x v="1"/>
    <x v="1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G1:G7" firstHeaderRow="1" firstDataRow="1" firstDataCol="1"/>
  <pivotFields count="11">
    <pivotField showAll="0"/>
    <pivotField showAll="0"/>
    <pivotField showAll="0">
      <items count="8">
        <item x="1"/>
        <item x="0"/>
        <item x="5"/>
        <item x="3"/>
        <item x="4"/>
        <item x="6"/>
        <item x="2"/>
        <item t="default"/>
      </items>
    </pivotField>
    <pivotField numFmtId="49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2">
  <location ref="D3:E6" firstHeaderRow="1" firstDataRow="1" firstDataCol="1" rowPageCount="1" colPageCount="1"/>
  <pivotFields count="11">
    <pivotField showAll="0"/>
    <pivotField showAll="0"/>
    <pivotField showAll="0"/>
    <pivotField numFmtId="49" showAll="0"/>
    <pivotField axis="axisPage" multipleItemSelectionAllowed="1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pageFields count="1">
    <pageField fld="4" hier="-1"/>
  </pageFields>
  <dataFields count="1">
    <dataField name="Count of Respondents" fld="6" subtotal="count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4">
  <location ref="A3:B9" firstHeaderRow="1" firstDataRow="1" firstDataCol="1" rowPageCount="1" colPageCount="1"/>
  <pivotFields count="11">
    <pivotField showAll="0"/>
    <pivotField showAll="0"/>
    <pivotField showAll="0"/>
    <pivotField numFmtId="49" showAll="0"/>
    <pivotField showAll="0"/>
    <pivotField showAll="0"/>
    <pivotField dataField="1" showAll="0">
      <items count="71">
        <item x="15"/>
        <item x="51"/>
        <item x="17"/>
        <item x="60"/>
        <item x="65"/>
        <item x="21"/>
        <item x="37"/>
        <item x="52"/>
        <item x="0"/>
        <item x="39"/>
        <item x="63"/>
        <item x="14"/>
        <item x="61"/>
        <item x="27"/>
        <item x="64"/>
        <item x="19"/>
        <item x="18"/>
        <item x="42"/>
        <item x="69"/>
        <item x="20"/>
        <item x="32"/>
        <item x="36"/>
        <item x="57"/>
        <item x="48"/>
        <item x="50"/>
        <item x="68"/>
        <item x="44"/>
        <item x="56"/>
        <item x="26"/>
        <item x="11"/>
        <item x="12"/>
        <item x="38"/>
        <item x="58"/>
        <item x="10"/>
        <item x="4"/>
        <item x="53"/>
        <item x="54"/>
        <item x="16"/>
        <item x="6"/>
        <item x="23"/>
        <item x="41"/>
        <item x="29"/>
        <item x="3"/>
        <item x="40"/>
        <item x="59"/>
        <item x="25"/>
        <item x="7"/>
        <item x="45"/>
        <item x="43"/>
        <item x="67"/>
        <item x="22"/>
        <item x="28"/>
        <item x="9"/>
        <item x="49"/>
        <item x="34"/>
        <item x="33"/>
        <item x="62"/>
        <item x="47"/>
        <item x="66"/>
        <item x="31"/>
        <item x="46"/>
        <item x="1"/>
        <item x="13"/>
        <item x="24"/>
        <item x="55"/>
        <item x="35"/>
        <item x="30"/>
        <item x="2"/>
        <item x="8"/>
        <item x="5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axis="axisPage" multipleItemSelectionAllowed="1" showAll="0">
      <items count="4">
        <item x="0"/>
        <item x="1"/>
        <item x="2"/>
        <item t="default"/>
      </items>
    </pivotField>
    <pivotField showAll="0"/>
    <pivotField showAll="0">
      <items count="3">
        <item x="1"/>
        <item x="0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8" hier="-1"/>
  </pageFields>
  <dataFields count="1">
    <dataField name="Count of Respondents" fld="6" subtotal="count" baseField="0" baseItem="0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outline="1" outlineData="1" multipleFieldFilters="0" chartFormat="1" rowHeaderCaption=" Brand">
  <location ref="A12:C20" firstHeaderRow="1" firstDataRow="2" firstDataCol="1" rowPageCount="1" colPageCount="1"/>
  <pivotFields count="11">
    <pivotField showAll="0"/>
    <pivotField dataField="1" showAll="0"/>
    <pivotField axis="axisRow" showAll="0">
      <items count="8">
        <item sd="0" x="1"/>
        <item sd="0" x="0"/>
        <item sd="0" x="5"/>
        <item sd="0" x="3"/>
        <item sd="0" x="4"/>
        <item sd="0" x="6"/>
        <item sd="0" x="2"/>
        <item t="default"/>
      </items>
    </pivotField>
    <pivotField dataField="1" numFmtId="49"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showAll="0"/>
    <pivotField axis="axisPage" multipleItemSelectionAllowed="1" showAll="0">
      <items count="6">
        <item h="1" x="0"/>
        <item x="1"/>
        <item h="1" x="2"/>
        <item h="1" x="3"/>
        <item h="1" x="4"/>
        <item t="default"/>
      </items>
    </pivotField>
    <pivotField showAll="0"/>
    <pivotField showAll="0">
      <items count="11">
        <item x="0"/>
        <item x="3"/>
        <item x="6"/>
        <item x="9"/>
        <item x="2"/>
        <item x="7"/>
        <item x="8"/>
        <item x="4"/>
        <item x="5"/>
        <item x="1"/>
        <item t="default"/>
      </items>
    </pivotField>
    <pivotField showAll="0"/>
  </pivotFields>
  <rowFields count="2">
    <field x="2"/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Avg Taste_experience" fld="3" subtotal="average" baseField="0" baseItem="0" numFmtId="164"/>
    <dataField name="No. Of Repondents" fld="1" subtotal="count" baseField="0" baseItem="0"/>
  </dataFields>
  <conditionalFormats count="12">
    <conditionalFormat scope="field" priority="13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0"/>
            </reference>
          </references>
        </pivotArea>
      </pivotAreas>
    </conditionalFormat>
    <conditionalFormat priority="11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  <conditionalFormat priority="9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8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7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D11:E15" firstHeaderRow="1" firstDataRow="1" firstDataCol="1"/>
  <pivotFields count="11">
    <pivotField showAll="0"/>
    <pivotField showAll="0"/>
    <pivotField showAll="0"/>
    <pivotField numFmtId="49" showAll="0"/>
    <pivotField showAll="0"/>
    <pivotField showAll="0"/>
    <pivotField dataField="1" showAll="0"/>
    <pivotField multipleItemSelectionAllowed="1" showAll="0">
      <items count="6">
        <item h="1" x="0"/>
        <item x="1"/>
        <item h="1" x="2"/>
        <item h="1" x="3"/>
        <item h="1"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spondents" fld="6" subtotal="count" baseField="0" baseItem="0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3" minRefreshableVersion="3" showCalcMbrs="0" useAutoFormatting="1" rowGrandTotals="0" colGrandTotals="0" itemPrintTitles="1" createdVersion="3" indent="0" outline="1" outlineData="1" multipleFieldFilters="0" chartFormat="2" rowHeaderCaption=" Brand">
  <location ref="I4:K12" firstHeaderRow="1" firstDataRow="2" firstDataCol="1" rowPageCount="1" colPageCount="1"/>
  <pivotFields count="11">
    <pivotField showAll="0"/>
    <pivotField dataField="1" showAll="0"/>
    <pivotField axis="axisRow" showAll="0">
      <items count="8">
        <item sd="0" x="1"/>
        <item sd="0" x="0"/>
        <item sd="0" x="5"/>
        <item sd="0" x="3"/>
        <item sd="0" x="4"/>
        <item sd="0" x="6"/>
        <item sd="0" x="2"/>
        <item t="default"/>
      </items>
    </pivotField>
    <pivotField dataField="1" numFmtId="49"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showAll="0"/>
    <pivotField showAll="0"/>
    <pivotField showAll="0"/>
    <pivotField axis="axisPage" multipleItemSelectionAllowed="1" showAll="0">
      <items count="11">
        <item x="0"/>
        <item x="3"/>
        <item x="6"/>
        <item x="9"/>
        <item x="2"/>
        <item x="7"/>
        <item x="8"/>
        <item x="4"/>
        <item x="5"/>
        <item x="1"/>
        <item t="default"/>
      </items>
    </pivotField>
    <pivotField showAll="0"/>
  </pivotFields>
  <rowFields count="2">
    <field x="2"/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Avg Taste_experience" fld="3" subtotal="average" baseField="0" baseItem="0" numFmtId="164"/>
    <dataField name="No. Of Repondents" fld="1" subtotal="count" baseField="0" baseItem="0"/>
  </dataFields>
  <formats count="1">
    <format dxfId="0">
      <pivotArea collapsedLevelsAreSubtotals="1" fieldPosition="0">
        <references count="2">
          <reference field="4294967294" count="1" selected="0">
            <x v="0"/>
          </reference>
          <reference field="2" count="1">
            <x v="6"/>
          </reference>
        </references>
      </pivotArea>
    </format>
  </formats>
  <conditionalFormats count="19">
    <conditionalFormat type="all"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1">
              <x v="6"/>
            </reference>
          </references>
        </pivotArea>
      </pivotAreas>
    </conditionalFormat>
    <conditionalFormat type="all"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7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field" priority="20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2" count="0" selected="0"/>
          </references>
        </pivotArea>
      </pivotAreas>
    </conditionalFormat>
    <conditionalFormat priority="19">
      <pivotAreas count="1">
        <pivotArea outline="0" fieldPosition="0">
          <references count="1">
            <reference field="4294967294" count="1">
              <x v="0"/>
            </reference>
          </references>
        </pivotArea>
      </pivotAreas>
    </conditionalFormat>
    <conditionalFormat priority="18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1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1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1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1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1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10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type="all" priority="9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8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7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2" name="Table2" displayName="Table2" ref="A1:K71" totalsRowShown="0">
  <autoFilter ref="A1:K71">
    <filterColumn colId="6"/>
    <filterColumn colId="7"/>
    <filterColumn colId="8"/>
    <filterColumn colId="9"/>
    <filterColumn colId="10"/>
  </autoFilter>
  <tableColumns count="11">
    <tableColumn id="1" name="Response_ID"/>
    <tableColumn id="2" name="Respondent_ID"/>
    <tableColumn id="3" name="Current_Brands"/>
    <tableColumn id="4" name="Taste_experience" dataDxfId="25"/>
    <tableColumn id="5" name="Price_range" dataDxfId="24"/>
    <tableColumn id="6" name="Purchase_location"/>
    <tableColumn id="7" name="Respondents" dataDxfId="23">
      <calculatedColumnFormula>VLOOKUP(B2, dim_respondents!$A$2:$F$71,2,FALSE)</calculatedColumnFormula>
    </tableColumn>
    <tableColumn id="8" name="Age Group" dataDxfId="22">
      <calculatedColumnFormula>VLOOKUP((B2),dim_respondents!$A$2:$G$71,3, FALSE)</calculatedColumnFormula>
    </tableColumn>
    <tableColumn id="9" name="Gender" dataDxfId="21">
      <calculatedColumnFormula>VLOOKUP(B2,dim_respondents!$A$2:$G$71,4, FALSE)</calculatedColumnFormula>
    </tableColumn>
    <tableColumn id="10" name="City" dataDxfId="20">
      <calculatedColumnFormula>VLOOKUP((B2),dim_respondents!$A$2:$G$71,6, FALSE)</calculatedColumnFormula>
    </tableColumn>
    <tableColumn id="11" name="Tier" dataDxfId="19">
      <calculatedColumnFormula>VLOOKUP((B2),dim_respondents!$A$2:$G$71,7, FALSE)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G71" totalsRowShown="0">
  <autoFilter ref="A1:G71">
    <filterColumn colId="5"/>
    <filterColumn colId="6"/>
  </autoFilter>
  <sortState ref="A2:G71">
    <sortCondition ref="A1:A71"/>
  </sortState>
  <tableColumns count="7">
    <tableColumn id="1" name="Respondent_ID"/>
    <tableColumn id="2" name="Name"/>
    <tableColumn id="3" name="Age" dataDxfId="18"/>
    <tableColumn id="4" name="Gender"/>
    <tableColumn id="5" name="City_ID"/>
    <tableColumn id="6" name="City_Name" dataDxfId="17">
      <calculatedColumnFormula>VLOOKUP(TRIM(E2), dim_cities!$A$2:$C$11, 2, FALSE)</calculatedColumnFormula>
    </tableColumn>
    <tableColumn id="9" name="Tier" dataDxfId="16">
      <calculatedColumnFormula>VLOOKUP(TRIM(E2),dim_cities!$A$2:$C$11,3,FALSE)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A1:C11" totalsRowShown="0">
  <autoFilter ref="A1:C11"/>
  <tableColumns count="3">
    <tableColumn id="1" name="City_ID"/>
    <tableColumn id="2" name="City"/>
    <tableColumn id="3" name="Tier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>
      <selection activeCell="B10" sqref="B10"/>
    </sheetView>
  </sheetViews>
  <sheetFormatPr defaultRowHeight="15"/>
  <cols>
    <col min="1" max="1" width="11.7109375" customWidth="1"/>
    <col min="2" max="2" width="20.7109375" customWidth="1"/>
    <col min="3" max="3" width="18.140625" customWidth="1"/>
    <col min="4" max="4" width="13.140625" customWidth="1"/>
    <col min="5" max="5" width="20.85546875" customWidth="1"/>
    <col min="6" max="6" width="20.85546875" bestFit="1" customWidth="1"/>
    <col min="7" max="7" width="13.140625" customWidth="1"/>
    <col min="8" max="8" width="16.28515625" customWidth="1"/>
    <col min="9" max="12" width="2" customWidth="1"/>
    <col min="13" max="13" width="11.28515625" customWidth="1"/>
    <col min="14" max="14" width="5.42578125" customWidth="1"/>
    <col min="15" max="15" width="11.28515625" customWidth="1"/>
    <col min="16" max="16" width="12" bestFit="1" customWidth="1"/>
    <col min="17" max="17" width="16.140625" bestFit="1" customWidth="1"/>
    <col min="18" max="18" width="11.28515625" bestFit="1" customWidth="1"/>
    <col min="19" max="19" width="12" bestFit="1" customWidth="1"/>
    <col min="20" max="20" width="14.28515625" bestFit="1" customWidth="1"/>
    <col min="21" max="21" width="12.140625" bestFit="1" customWidth="1"/>
    <col min="22" max="22" width="11.5703125" bestFit="1" customWidth="1"/>
    <col min="23" max="23" width="11" bestFit="1" customWidth="1"/>
    <col min="24" max="24" width="13.5703125" bestFit="1" customWidth="1"/>
    <col min="26" max="26" width="15.5703125" bestFit="1" customWidth="1"/>
    <col min="27" max="27" width="11.42578125" bestFit="1" customWidth="1"/>
    <col min="28" max="28" width="12.42578125" bestFit="1" customWidth="1"/>
    <col min="29" max="29" width="14.28515625" bestFit="1" customWidth="1"/>
    <col min="30" max="30" width="13.85546875" bestFit="1" customWidth="1"/>
    <col min="31" max="31" width="13.42578125" bestFit="1" customWidth="1"/>
    <col min="32" max="32" width="13.28515625" bestFit="1" customWidth="1"/>
    <col min="33" max="33" width="11" bestFit="1" customWidth="1"/>
    <col min="34" max="34" width="12" bestFit="1" customWidth="1"/>
    <col min="35" max="35" width="13.85546875" bestFit="1" customWidth="1"/>
    <col min="36" max="36" width="14.42578125" bestFit="1" customWidth="1"/>
    <col min="37" max="37" width="13.85546875" bestFit="1" customWidth="1"/>
    <col min="38" max="38" width="12.85546875" bestFit="1" customWidth="1"/>
    <col min="39" max="39" width="9.28515625" bestFit="1" customWidth="1"/>
    <col min="40" max="40" width="11" bestFit="1" customWidth="1"/>
    <col min="41" max="41" width="17.28515625" bestFit="1" customWidth="1"/>
    <col min="42" max="42" width="13.28515625" bestFit="1" customWidth="1"/>
    <col min="43" max="43" width="8.85546875" customWidth="1"/>
    <col min="44" max="44" width="13.140625" bestFit="1" customWidth="1"/>
    <col min="45" max="45" width="11.7109375" bestFit="1" customWidth="1"/>
    <col min="46" max="46" width="13.5703125" bestFit="1" customWidth="1"/>
    <col min="47" max="47" width="8.7109375" customWidth="1"/>
    <col min="48" max="48" width="12.42578125" bestFit="1" customWidth="1"/>
    <col min="49" max="49" width="14" bestFit="1" customWidth="1"/>
    <col min="50" max="50" width="12.7109375" bestFit="1" customWidth="1"/>
    <col min="51" max="51" width="12" bestFit="1" customWidth="1"/>
    <col min="52" max="52" width="11.42578125" bestFit="1" customWidth="1"/>
    <col min="53" max="53" width="10.7109375" bestFit="1" customWidth="1"/>
    <col min="54" max="54" width="12.7109375" bestFit="1" customWidth="1"/>
    <col min="55" max="55" width="10.7109375" bestFit="1" customWidth="1"/>
    <col min="56" max="56" width="15.28515625" bestFit="1" customWidth="1"/>
    <col min="57" max="57" width="15.7109375" bestFit="1" customWidth="1"/>
    <col min="58" max="58" width="11.85546875" bestFit="1" customWidth="1"/>
    <col min="59" max="59" width="20.5703125" bestFit="1" customWidth="1"/>
    <col min="60" max="60" width="13.140625" bestFit="1" customWidth="1"/>
    <col min="61" max="61" width="16.140625" bestFit="1" customWidth="1"/>
    <col min="62" max="62" width="13.5703125" bestFit="1" customWidth="1"/>
    <col min="63" max="63" width="10.85546875" bestFit="1" customWidth="1"/>
    <col min="64" max="64" width="15.5703125" bestFit="1" customWidth="1"/>
    <col min="65" max="65" width="13.28515625" bestFit="1" customWidth="1"/>
    <col min="66" max="66" width="16.28515625" bestFit="1" customWidth="1"/>
    <col min="67" max="67" width="10.7109375" bestFit="1" customWidth="1"/>
    <col min="68" max="68" width="11.28515625" bestFit="1" customWidth="1"/>
    <col min="69" max="69" width="11" bestFit="1" customWidth="1"/>
    <col min="70" max="70" width="9.5703125" bestFit="1" customWidth="1"/>
    <col min="71" max="71" width="13.5703125" bestFit="1" customWidth="1"/>
    <col min="72" max="72" width="11.28515625" bestFit="1" customWidth="1"/>
  </cols>
  <sheetData>
    <row r="1" spans="1:7">
      <c r="A1" s="4" t="s">
        <v>21</v>
      </c>
      <c r="B1" t="s">
        <v>143</v>
      </c>
      <c r="D1" s="4" t="s">
        <v>3</v>
      </c>
      <c r="E1" t="s">
        <v>143</v>
      </c>
      <c r="G1" s="4" t="s">
        <v>138</v>
      </c>
    </row>
    <row r="2" spans="1:7" ht="60">
      <c r="A2" s="6" t="s">
        <v>141</v>
      </c>
      <c r="G2" s="5" t="s">
        <v>24</v>
      </c>
    </row>
    <row r="3" spans="1:7">
      <c r="A3" s="4" t="s">
        <v>138</v>
      </c>
      <c r="B3" t="s">
        <v>140</v>
      </c>
      <c r="D3" s="4" t="s">
        <v>138</v>
      </c>
      <c r="E3" t="s">
        <v>140</v>
      </c>
      <c r="G3" s="5" t="s">
        <v>27</v>
      </c>
    </row>
    <row r="4" spans="1:7">
      <c r="A4" s="5" t="s">
        <v>24</v>
      </c>
      <c r="B4" s="3">
        <v>10</v>
      </c>
      <c r="D4" s="5" t="s">
        <v>64</v>
      </c>
      <c r="E4" s="3">
        <v>50</v>
      </c>
      <c r="G4" s="5" t="s">
        <v>31</v>
      </c>
    </row>
    <row r="5" spans="1:7">
      <c r="A5" s="5" t="s">
        <v>27</v>
      </c>
      <c r="B5" s="3">
        <v>42</v>
      </c>
      <c r="D5" s="5" t="s">
        <v>70</v>
      </c>
      <c r="E5" s="3">
        <v>20</v>
      </c>
      <c r="G5" s="5" t="s">
        <v>38</v>
      </c>
    </row>
    <row r="6" spans="1:7">
      <c r="A6" s="5" t="s">
        <v>31</v>
      </c>
      <c r="B6" s="3">
        <v>14</v>
      </c>
      <c r="D6" s="5" t="s">
        <v>139</v>
      </c>
      <c r="E6" s="3">
        <v>70</v>
      </c>
      <c r="G6" s="5" t="s">
        <v>42</v>
      </c>
    </row>
    <row r="7" spans="1:7">
      <c r="A7" s="5" t="s">
        <v>38</v>
      </c>
      <c r="B7" s="3">
        <v>2</v>
      </c>
      <c r="G7" s="5" t="s">
        <v>139</v>
      </c>
    </row>
    <row r="8" spans="1:7">
      <c r="A8" s="5" t="s">
        <v>42</v>
      </c>
      <c r="B8" s="3">
        <v>2</v>
      </c>
    </row>
    <row r="9" spans="1:7">
      <c r="A9" s="5" t="s">
        <v>139</v>
      </c>
      <c r="B9" s="3">
        <v>70</v>
      </c>
    </row>
    <row r="10" spans="1:7">
      <c r="A10" s="4" t="s">
        <v>137</v>
      </c>
      <c r="B10" t="s">
        <v>27</v>
      </c>
    </row>
    <row r="11" spans="1:7">
      <c r="D11" s="4" t="s">
        <v>138</v>
      </c>
      <c r="E11" t="s">
        <v>140</v>
      </c>
    </row>
    <row r="12" spans="1:7">
      <c r="B12" s="4" t="s">
        <v>142</v>
      </c>
      <c r="D12" s="5" t="s">
        <v>25</v>
      </c>
      <c r="E12" s="3">
        <v>25</v>
      </c>
    </row>
    <row r="13" spans="1:7">
      <c r="A13" s="4" t="s">
        <v>144</v>
      </c>
      <c r="B13" t="s">
        <v>145</v>
      </c>
      <c r="C13" t="s">
        <v>146</v>
      </c>
      <c r="D13" s="5" t="s">
        <v>29</v>
      </c>
      <c r="E13" s="3">
        <v>40</v>
      </c>
    </row>
    <row r="14" spans="1:7">
      <c r="A14" s="5" t="s">
        <v>7</v>
      </c>
      <c r="B14" s="7">
        <v>3.4285714285714284</v>
      </c>
      <c r="C14" s="3">
        <v>7</v>
      </c>
      <c r="D14" s="5" t="s">
        <v>46</v>
      </c>
      <c r="E14" s="3">
        <v>5</v>
      </c>
    </row>
    <row r="15" spans="1:7">
      <c r="A15" s="5" t="s">
        <v>18</v>
      </c>
      <c r="B15" s="7">
        <v>2.5</v>
      </c>
      <c r="C15" s="3">
        <v>2</v>
      </c>
      <c r="D15" s="5" t="s">
        <v>139</v>
      </c>
      <c r="E15" s="3">
        <v>70</v>
      </c>
    </row>
    <row r="16" spans="1:7">
      <c r="A16" s="5" t="s">
        <v>133</v>
      </c>
      <c r="B16" s="7">
        <v>3.2</v>
      </c>
      <c r="C16" s="3">
        <v>5</v>
      </c>
    </row>
    <row r="17" spans="1:3">
      <c r="A17" s="5" t="s">
        <v>11</v>
      </c>
      <c r="B17" s="7">
        <v>3.6</v>
      </c>
      <c r="C17" s="3">
        <v>10</v>
      </c>
    </row>
    <row r="18" spans="1:3">
      <c r="A18" s="5" t="s">
        <v>14</v>
      </c>
      <c r="B18" s="7">
        <v>3</v>
      </c>
      <c r="C18" s="3">
        <v>8</v>
      </c>
    </row>
    <row r="19" spans="1:3">
      <c r="A19" s="5" t="s">
        <v>134</v>
      </c>
      <c r="B19" s="7">
        <v>3.25</v>
      </c>
      <c r="C19" s="3">
        <v>4</v>
      </c>
    </row>
    <row r="20" spans="1:3">
      <c r="A20" s="5" t="s">
        <v>15</v>
      </c>
      <c r="B20" s="7">
        <v>3.8333333333333335</v>
      </c>
      <c r="C20" s="3">
        <v>6</v>
      </c>
    </row>
  </sheetData>
  <conditionalFormatting sqref="A4">
    <cfRule type="dataBar" priority="24">
      <dataBar>
        <cfvo type="min" val="0"/>
        <cfvo type="max" val="0"/>
        <color rgb="FF63C384"/>
      </dataBar>
    </cfRule>
  </conditionalFormatting>
  <conditionalFormatting sqref="A3:A9 B3">
    <cfRule type="colorScale" priority="23">
      <colorScale>
        <cfvo type="min" val="0"/>
        <cfvo type="percentile" val="50"/>
        <cfvo type="max" val="0"/>
        <color rgb="FFF8696B"/>
        <color rgb="FFFFEB84"/>
        <color rgb="FF63BE7B"/>
      </colorScale>
    </cfRule>
    <cfRule type="dataBar" priority="19">
      <dataBar>
        <cfvo type="min" val="0"/>
        <cfvo type="max" val="0"/>
        <color rgb="FF63C384"/>
      </dataBar>
    </cfRule>
    <cfRule type="colorScale" priority="20">
      <colorScale>
        <cfvo type="min" val="0"/>
        <cfvo type="num" val="0"/>
        <cfvo type="max" val="0"/>
        <color theme="9" tint="0.39997558519241921"/>
        <color rgb="FFFFFF99"/>
        <color theme="6" tint="0.59999389629810485"/>
      </colorScale>
    </cfRule>
    <cfRule type="colorScale" priority="18">
      <colorScale>
        <cfvo type="min" val="0"/>
        <cfvo type="percentile" val="50"/>
        <cfvo type="max" val="0"/>
        <color rgb="FFFFA3A3"/>
        <color rgb="FFFFEB84"/>
        <color rgb="FF63BE7B"/>
      </colorScale>
    </cfRule>
    <cfRule type="colorScale" priority="17">
      <colorScale>
        <cfvo type="min" val="0"/>
        <cfvo type="percentile" val="50"/>
        <cfvo type="max" val="0"/>
        <color rgb="FFFFA3A3"/>
        <color rgb="FFFFEB84"/>
        <color rgb="FFABFFAB"/>
      </colorScale>
    </cfRule>
  </conditionalFormatting>
  <conditionalFormatting pivot="1" sqref="B14:B20">
    <cfRule type="cellIs" dxfId="34" priority="13" stopIfTrue="1" operator="equal">
      <formula>3.9</formula>
    </cfRule>
  </conditionalFormatting>
  <conditionalFormatting pivot="1" sqref="B14:B20">
    <cfRule type="dataBar" priority="12">
      <dataBar>
        <cfvo type="min" val="0"/>
        <cfvo type="max" val="0"/>
        <color rgb="FFD6007B"/>
      </dataBar>
    </cfRule>
  </conditionalFormatting>
  <conditionalFormatting pivot="1" sqref="C14:C20">
    <cfRule type="dataBar" priority="11">
      <dataBar>
        <cfvo type="min" val="0"/>
        <cfvo type="max" val="0"/>
        <color rgb="FF63C384"/>
      </dataBar>
    </cfRule>
  </conditionalFormatting>
  <conditionalFormatting sqref="A14:A20">
    <cfRule type="cellIs" dxfId="33" priority="10" operator="equal">
      <formula>3.9</formula>
    </cfRule>
  </conditionalFormatting>
  <conditionalFormatting pivot="1" sqref="B14:B20">
    <cfRule type="expression" dxfId="32" priority="9">
      <formula>"Max(Avg Taste Experience)"</formula>
    </cfRule>
  </conditionalFormatting>
  <conditionalFormatting pivot="1" sqref="B14:B20">
    <cfRule type="top10" priority="8" rank="1"/>
  </conditionalFormatting>
  <conditionalFormatting pivot="1" sqref="B14:B20">
    <cfRule type="top10" dxfId="31" priority="7" rank="1"/>
  </conditionalFormatting>
  <conditionalFormatting pivot="1" sqref="B14:B20">
    <cfRule type="top10" dxfId="30" priority="6" bottom="1" rank="1"/>
  </conditionalFormatting>
  <conditionalFormatting pivot="1" sqref="B14:B20">
    <cfRule type="top10" dxfId="29" priority="5" rank="1"/>
  </conditionalFormatting>
  <conditionalFormatting pivot="1" sqref="B14:B20">
    <cfRule type="top10" dxfId="28" priority="4" bottom="1" rank="1"/>
  </conditionalFormatting>
  <conditionalFormatting pivot="1" sqref="B14:B20">
    <cfRule type="top10" dxfId="27" priority="3" rank="1"/>
  </conditionalFormatting>
  <conditionalFormatting pivot="1" sqref="B14:B20">
    <cfRule type="top10" dxfId="26" priority="2" rank="1"/>
  </conditionalFormatting>
  <conditionalFormatting pivot="1" sqref="C14:C20">
    <cfRule type="dataBar" priority="1">
      <dataBar>
        <cfvo type="min" val="0"/>
        <cfvo type="max" val="0"/>
        <color rgb="FF00B0F0"/>
      </dataBar>
    </cfRule>
  </conditionalFormatting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1"/>
  <dimension ref="A1:K71"/>
  <sheetViews>
    <sheetView topLeftCell="A47" workbookViewId="0">
      <selection sqref="A1:K71"/>
    </sheetView>
  </sheetViews>
  <sheetFormatPr defaultRowHeight="15"/>
  <cols>
    <col min="1" max="1" width="14.5703125" customWidth="1"/>
    <col min="2" max="2" width="16.7109375" customWidth="1"/>
    <col min="3" max="3" width="16.85546875" customWidth="1"/>
    <col min="4" max="4" width="18.85546875" style="1" customWidth="1"/>
    <col min="5" max="5" width="13.5703125" style="2" customWidth="1"/>
    <col min="6" max="6" width="22.7109375" customWidth="1"/>
    <col min="7" max="7" width="16.42578125" customWidth="1"/>
    <col min="8" max="8" width="12" customWidth="1"/>
    <col min="10" max="10" width="11" customWidth="1"/>
  </cols>
  <sheetData>
    <row r="1" spans="1:11">
      <c r="A1" t="s">
        <v>0</v>
      </c>
      <c r="B1" t="s">
        <v>1</v>
      </c>
      <c r="C1" t="s">
        <v>132</v>
      </c>
      <c r="D1" s="1" t="s">
        <v>2</v>
      </c>
      <c r="E1" s="2" t="s">
        <v>3</v>
      </c>
      <c r="F1" t="s">
        <v>4</v>
      </c>
      <c r="G1" t="s">
        <v>136</v>
      </c>
      <c r="H1" t="s">
        <v>137</v>
      </c>
      <c r="I1" t="s">
        <v>21</v>
      </c>
      <c r="J1" t="s">
        <v>62</v>
      </c>
      <c r="K1" t="s">
        <v>63</v>
      </c>
    </row>
    <row r="2" spans="1:11">
      <c r="A2">
        <v>103001</v>
      </c>
      <c r="B2">
        <v>120031</v>
      </c>
      <c r="C2" t="s">
        <v>18</v>
      </c>
      <c r="D2" s="1">
        <v>5</v>
      </c>
      <c r="E2" s="2" t="s">
        <v>5</v>
      </c>
      <c r="F2" t="s">
        <v>6</v>
      </c>
      <c r="G2" s="3" t="str">
        <f>VLOOKUP(B2, dim_respondents!$A$2:$F$71,2,FALSE)</f>
        <v>Aniruddh Issac</v>
      </c>
      <c r="H2" s="3" t="str">
        <f>VLOOKUP((B2),dim_respondents!$A$2:$G$71,3, FALSE)</f>
        <v>15-18</v>
      </c>
      <c r="I2" s="3" t="str">
        <f>VLOOKUP(B2,dim_respondents!$A$2:$G$71,4, FALSE)</f>
        <v>F</v>
      </c>
      <c r="J2" s="3" t="str">
        <f>VLOOKUP((B2),dim_respondents!$A$2:$G$71,6, FALSE)</f>
        <v>Ahmedabad</v>
      </c>
      <c r="K2" s="3" t="str">
        <f>VLOOKUP((B2),dim_respondents!$A$2:$G$71,7, FALSE)</f>
        <v>Tier 2</v>
      </c>
    </row>
    <row r="3" spans="1:11">
      <c r="A3">
        <v>103002</v>
      </c>
      <c r="B3">
        <v>120032</v>
      </c>
      <c r="C3" t="s">
        <v>7</v>
      </c>
      <c r="D3" s="1">
        <v>5</v>
      </c>
      <c r="E3" s="2" t="s">
        <v>5</v>
      </c>
      <c r="F3" t="s">
        <v>6</v>
      </c>
      <c r="G3" s="3" t="str">
        <f>VLOOKUP(B3, dim_respondents!$A$2:$F$71,2,FALSE)</f>
        <v>Trisha Rout</v>
      </c>
      <c r="H3" s="3" t="str">
        <f>VLOOKUP((B3),dim_respondents!$A$2:$G$71,3, FALSE)</f>
        <v>19-30</v>
      </c>
      <c r="I3" s="3" t="str">
        <f>VLOOKUP(B3,dim_respondents!$A$2:$G$71,4, FALSE)</f>
        <v>M</v>
      </c>
      <c r="J3" s="3" t="str">
        <f>VLOOKUP((B3),dim_respondents!$A$2:$G$71,6, FALSE)</f>
        <v>Pune</v>
      </c>
      <c r="K3" s="3" t="str">
        <f>VLOOKUP((B3),dim_respondents!$A$2:$G$71,7, FALSE)</f>
        <v>Tier 2</v>
      </c>
    </row>
    <row r="4" spans="1:11">
      <c r="A4">
        <v>103003</v>
      </c>
      <c r="B4">
        <v>120033</v>
      </c>
      <c r="C4" t="s">
        <v>7</v>
      </c>
      <c r="D4" s="1">
        <v>2</v>
      </c>
      <c r="E4" s="2" t="s">
        <v>8</v>
      </c>
      <c r="F4" t="s">
        <v>6</v>
      </c>
      <c r="G4" s="3" t="str">
        <f>VLOOKUP(B4, dim_respondents!$A$2:$F$71,2,FALSE)</f>
        <v>Yuvraj  Virk</v>
      </c>
      <c r="H4" s="3" t="str">
        <f>VLOOKUP((B4),dim_respondents!$A$2:$G$71,3, FALSE)</f>
        <v>15-18</v>
      </c>
      <c r="I4" s="3" t="str">
        <f>VLOOKUP(B4,dim_respondents!$A$2:$G$71,4, FALSE)</f>
        <v>M</v>
      </c>
      <c r="J4" s="3" t="str">
        <f>VLOOKUP((B4),dim_respondents!$A$2:$G$71,6, FALSE)</f>
        <v>Hyderabad</v>
      </c>
      <c r="K4" s="3" t="str">
        <f>VLOOKUP((B4),dim_respondents!$A$2:$G$71,7, FALSE)</f>
        <v>Tier 1</v>
      </c>
    </row>
    <row r="5" spans="1:11">
      <c r="A5">
        <v>103004</v>
      </c>
      <c r="B5">
        <v>120034</v>
      </c>
      <c r="C5" t="s">
        <v>7</v>
      </c>
      <c r="D5" s="1">
        <v>5</v>
      </c>
      <c r="E5" s="2" t="s">
        <v>9</v>
      </c>
      <c r="F5" t="s">
        <v>6</v>
      </c>
      <c r="G5" s="3" t="str">
        <f>VLOOKUP(B5, dim_respondents!$A$2:$F$71,2,FALSE)</f>
        <v>Pranay Chand</v>
      </c>
      <c r="H5" s="3" t="str">
        <f>VLOOKUP((B5),dim_respondents!$A$2:$G$71,3, FALSE)</f>
        <v>31-45</v>
      </c>
      <c r="I5" s="3" t="str">
        <f>VLOOKUP(B5,dim_respondents!$A$2:$G$71,4, FALSE)</f>
        <v>F</v>
      </c>
      <c r="J5" s="3" t="str">
        <f>VLOOKUP((B5),dim_respondents!$A$2:$G$71,6, FALSE)</f>
        <v>Bangalore</v>
      </c>
      <c r="K5" s="3" t="str">
        <f>VLOOKUP((B5),dim_respondents!$A$2:$G$71,7, FALSE)</f>
        <v>Tier 1</v>
      </c>
    </row>
    <row r="6" spans="1:11">
      <c r="A6">
        <v>103005</v>
      </c>
      <c r="B6">
        <v>120035</v>
      </c>
      <c r="C6" t="s">
        <v>15</v>
      </c>
      <c r="D6" s="1">
        <v>5</v>
      </c>
      <c r="E6" s="2" t="s">
        <v>8</v>
      </c>
      <c r="F6" t="s">
        <v>10</v>
      </c>
      <c r="G6" s="3" t="str">
        <f>VLOOKUP(B6, dim_respondents!$A$2:$F$71,2,FALSE)</f>
        <v>Mohanlal Joshi</v>
      </c>
      <c r="H6" s="3" t="str">
        <f>VLOOKUP((B6),dim_respondents!$A$2:$G$71,3, FALSE)</f>
        <v>19-30</v>
      </c>
      <c r="I6" s="3" t="str">
        <f>VLOOKUP(B6,dim_respondents!$A$2:$G$71,4, FALSE)</f>
        <v>F</v>
      </c>
      <c r="J6" s="3" t="str">
        <f>VLOOKUP((B6),dim_respondents!$A$2:$G$71,6, FALSE)</f>
        <v>Lucknow</v>
      </c>
      <c r="K6" s="3" t="str">
        <f>VLOOKUP((B6),dim_respondents!$A$2:$G$71,7, FALSE)</f>
        <v>Tier 2</v>
      </c>
    </row>
    <row r="7" spans="1:11">
      <c r="A7">
        <v>103006</v>
      </c>
      <c r="B7">
        <v>120036</v>
      </c>
      <c r="C7" t="s">
        <v>11</v>
      </c>
      <c r="D7" s="1">
        <v>5</v>
      </c>
      <c r="E7" s="2" t="s">
        <v>9</v>
      </c>
      <c r="F7" t="s">
        <v>12</v>
      </c>
      <c r="G7" s="3" t="str">
        <f>VLOOKUP(B7, dim_respondents!$A$2:$F$71,2,FALSE)</f>
        <v>Zeeshan Ratta</v>
      </c>
      <c r="H7" s="3" t="str">
        <f>VLOOKUP((B7),dim_respondents!$A$2:$G$71,3, FALSE)</f>
        <v>19-30</v>
      </c>
      <c r="I7" s="3" t="str">
        <f>VLOOKUP(B7,dim_respondents!$A$2:$G$71,4, FALSE)</f>
        <v>F</v>
      </c>
      <c r="J7" s="3" t="str">
        <f>VLOOKUP((B7),dim_respondents!$A$2:$G$71,6, FALSE)</f>
        <v>Pune</v>
      </c>
      <c r="K7" s="3" t="str">
        <f>VLOOKUP((B7),dim_respondents!$A$2:$G$71,7, FALSE)</f>
        <v>Tier 2</v>
      </c>
    </row>
    <row r="8" spans="1:11">
      <c r="A8">
        <v>103007</v>
      </c>
      <c r="B8">
        <v>120037</v>
      </c>
      <c r="C8" t="s">
        <v>11</v>
      </c>
      <c r="D8" s="1">
        <v>4</v>
      </c>
      <c r="E8" s="2" t="s">
        <v>8</v>
      </c>
      <c r="F8" t="s">
        <v>13</v>
      </c>
      <c r="G8" s="3" t="str">
        <f>VLOOKUP(B8, dim_respondents!$A$2:$F$71,2,FALSE)</f>
        <v>Oorja Anne</v>
      </c>
      <c r="H8" s="3" t="str">
        <f>VLOOKUP((B8),dim_respondents!$A$2:$G$71,3, FALSE)</f>
        <v>19-30</v>
      </c>
      <c r="I8" s="3" t="str">
        <f>VLOOKUP(B8,dim_respondents!$A$2:$G$71,4, FALSE)</f>
        <v>M</v>
      </c>
      <c r="J8" s="3" t="str">
        <f>VLOOKUP((B8),dim_respondents!$A$2:$G$71,6, FALSE)</f>
        <v>Mumbai</v>
      </c>
      <c r="K8" s="3" t="str">
        <f>VLOOKUP((B8),dim_respondents!$A$2:$G$71,7, FALSE)</f>
        <v>Tier 1</v>
      </c>
    </row>
    <row r="9" spans="1:11">
      <c r="A9">
        <v>103008</v>
      </c>
      <c r="B9">
        <v>120038</v>
      </c>
      <c r="C9" t="s">
        <v>14</v>
      </c>
      <c r="D9" s="1">
        <v>4</v>
      </c>
      <c r="E9" s="2" t="s">
        <v>5</v>
      </c>
      <c r="F9" t="s">
        <v>12</v>
      </c>
      <c r="G9" s="3" t="str">
        <f>VLOOKUP(B9, dim_respondents!$A$2:$F$71,2,FALSE)</f>
        <v>Rhea Khanna</v>
      </c>
      <c r="H9" s="3" t="str">
        <f>VLOOKUP((B9),dim_respondents!$A$2:$G$71,3, FALSE)</f>
        <v>19-30</v>
      </c>
      <c r="I9" s="3" t="str">
        <f>VLOOKUP(B9,dim_respondents!$A$2:$G$71,4, FALSE)</f>
        <v>M</v>
      </c>
      <c r="J9" s="3" t="str">
        <f>VLOOKUP((B9),dim_respondents!$A$2:$G$71,6, FALSE)</f>
        <v>Hyderabad</v>
      </c>
      <c r="K9" s="3" t="str">
        <f>VLOOKUP((B9),dim_respondents!$A$2:$G$71,7, FALSE)</f>
        <v>Tier 1</v>
      </c>
    </row>
    <row r="10" spans="1:11">
      <c r="A10">
        <v>103009</v>
      </c>
      <c r="B10">
        <v>120039</v>
      </c>
      <c r="C10" t="s">
        <v>14</v>
      </c>
      <c r="D10" s="1">
        <v>3</v>
      </c>
      <c r="E10" s="2" t="s">
        <v>8</v>
      </c>
      <c r="F10" t="s">
        <v>13</v>
      </c>
      <c r="G10" s="3" t="str">
        <f>VLOOKUP(B10, dim_respondents!$A$2:$F$71,2,FALSE)</f>
        <v>Zara Joshi</v>
      </c>
      <c r="H10" s="3" t="str">
        <f>VLOOKUP((B10),dim_respondents!$A$2:$G$71,3, FALSE)</f>
        <v>46-65</v>
      </c>
      <c r="I10" s="3" t="str">
        <f>VLOOKUP(B10,dim_respondents!$A$2:$G$71,4, FALSE)</f>
        <v>M</v>
      </c>
      <c r="J10" s="3" t="str">
        <f>VLOOKUP((B10),dim_respondents!$A$2:$G$71,6, FALSE)</f>
        <v>Hyderabad</v>
      </c>
      <c r="K10" s="3" t="str">
        <f>VLOOKUP((B10),dim_respondents!$A$2:$G$71,7, FALSE)</f>
        <v>Tier 1</v>
      </c>
    </row>
    <row r="11" spans="1:11">
      <c r="A11">
        <v>103010</v>
      </c>
      <c r="B11">
        <v>120040</v>
      </c>
      <c r="C11" t="s">
        <v>15</v>
      </c>
      <c r="D11" s="1">
        <v>4</v>
      </c>
      <c r="E11" s="2" t="s">
        <v>5</v>
      </c>
      <c r="F11" t="s">
        <v>12</v>
      </c>
      <c r="G11" s="3" t="str">
        <f>VLOOKUP(B11, dim_respondents!$A$2:$F$71,2,FALSE)</f>
        <v>Sana Dhawan</v>
      </c>
      <c r="H11" s="3" t="str">
        <f>VLOOKUP((B11),dim_respondents!$A$2:$G$71,3, FALSE)</f>
        <v>19-30</v>
      </c>
      <c r="I11" s="3" t="str">
        <f>VLOOKUP(B11,dim_respondents!$A$2:$G$71,4, FALSE)</f>
        <v>F</v>
      </c>
      <c r="J11" s="3" t="str">
        <f>VLOOKUP((B11),dim_respondents!$A$2:$G$71,6, FALSE)</f>
        <v>Hyderabad</v>
      </c>
      <c r="K11" s="3" t="str">
        <f>VLOOKUP((B11),dim_respondents!$A$2:$G$71,7, FALSE)</f>
        <v>Tier 1</v>
      </c>
    </row>
    <row r="12" spans="1:11">
      <c r="A12">
        <v>103011</v>
      </c>
      <c r="B12">
        <v>120041</v>
      </c>
      <c r="C12" t="s">
        <v>133</v>
      </c>
      <c r="D12" s="1">
        <v>5</v>
      </c>
      <c r="E12" s="2" t="s">
        <v>5</v>
      </c>
      <c r="F12" t="s">
        <v>6</v>
      </c>
      <c r="G12" s="3" t="str">
        <f>VLOOKUP(B12, dim_respondents!$A$2:$F$71,2,FALSE)</f>
        <v>Misha Warrior</v>
      </c>
      <c r="H12" s="3" t="str">
        <f>VLOOKUP((B12),dim_respondents!$A$2:$G$71,3, FALSE)</f>
        <v>19-30</v>
      </c>
      <c r="I12" s="3" t="str">
        <f>VLOOKUP(B12,dim_respondents!$A$2:$G$71,4, FALSE)</f>
        <v>F</v>
      </c>
      <c r="J12" s="3" t="str">
        <f>VLOOKUP((B12),dim_respondents!$A$2:$G$71,6, FALSE)</f>
        <v>Bangalore</v>
      </c>
      <c r="K12" s="3" t="str">
        <f>VLOOKUP((B12),dim_respondents!$A$2:$G$71,7, FALSE)</f>
        <v>Tier 1</v>
      </c>
    </row>
    <row r="13" spans="1:11">
      <c r="A13">
        <v>103012</v>
      </c>
      <c r="B13">
        <v>120042</v>
      </c>
      <c r="C13" t="s">
        <v>134</v>
      </c>
      <c r="D13" s="1">
        <v>2</v>
      </c>
      <c r="E13" s="2" t="s">
        <v>8</v>
      </c>
      <c r="F13" t="s">
        <v>10</v>
      </c>
      <c r="G13" s="3" t="str">
        <f>VLOOKUP(B13, dim_respondents!$A$2:$F$71,2,FALSE)</f>
        <v>Kiara Chander</v>
      </c>
      <c r="H13" s="3" t="str">
        <f>VLOOKUP((B13),dim_respondents!$A$2:$G$71,3, FALSE)</f>
        <v>19-30</v>
      </c>
      <c r="I13" s="3" t="str">
        <f>VLOOKUP(B13,dim_respondents!$A$2:$G$71,4, FALSE)</f>
        <v>F</v>
      </c>
      <c r="J13" s="3" t="str">
        <f>VLOOKUP((B13),dim_respondents!$A$2:$G$71,6, FALSE)</f>
        <v>Mumbai</v>
      </c>
      <c r="K13" s="3" t="str">
        <f>VLOOKUP((B13),dim_respondents!$A$2:$G$71,7, FALSE)</f>
        <v>Tier 1</v>
      </c>
    </row>
    <row r="14" spans="1:11">
      <c r="A14">
        <v>103013</v>
      </c>
      <c r="B14">
        <v>120043</v>
      </c>
      <c r="C14" t="s">
        <v>14</v>
      </c>
      <c r="D14" s="1">
        <v>4</v>
      </c>
      <c r="E14" s="2" t="s">
        <v>5</v>
      </c>
      <c r="F14" t="s">
        <v>12</v>
      </c>
      <c r="G14" s="3" t="str">
        <f>VLOOKUP(B14, dim_respondents!$A$2:$F$71,2,FALSE)</f>
        <v>Kimaya Borde</v>
      </c>
      <c r="H14" s="3" t="str">
        <f>VLOOKUP((B14),dim_respondents!$A$2:$G$71,3, FALSE)</f>
        <v>19-30</v>
      </c>
      <c r="I14" s="3" t="str">
        <f>VLOOKUP(B14,dim_respondents!$A$2:$G$71,4, FALSE)</f>
        <v>M</v>
      </c>
      <c r="J14" s="3" t="str">
        <f>VLOOKUP((B14),dim_respondents!$A$2:$G$71,6, FALSE)</f>
        <v>Bangalore</v>
      </c>
      <c r="K14" s="3" t="str">
        <f>VLOOKUP((B14),dim_respondents!$A$2:$G$71,7, FALSE)</f>
        <v>Tier 1</v>
      </c>
    </row>
    <row r="15" spans="1:11">
      <c r="A15">
        <v>103014</v>
      </c>
      <c r="B15">
        <v>120044</v>
      </c>
      <c r="C15" t="s">
        <v>134</v>
      </c>
      <c r="D15" s="1">
        <v>5</v>
      </c>
      <c r="E15" s="2" t="s">
        <v>5</v>
      </c>
      <c r="F15" t="s">
        <v>10</v>
      </c>
      <c r="G15" s="3" t="str">
        <f>VLOOKUP(B15, dim_respondents!$A$2:$F$71,2,FALSE)</f>
        <v>Tushar Malhotra</v>
      </c>
      <c r="H15" s="3" t="str">
        <f>VLOOKUP((B15),dim_respondents!$A$2:$G$71,3, FALSE)</f>
        <v>19-30</v>
      </c>
      <c r="I15" s="3" t="str">
        <f>VLOOKUP(B15,dim_respondents!$A$2:$G$71,4, FALSE)</f>
        <v>M</v>
      </c>
      <c r="J15" s="3" t="str">
        <f>VLOOKUP((B15),dim_respondents!$A$2:$G$71,6, FALSE)</f>
        <v>Mumbai</v>
      </c>
      <c r="K15" s="3" t="str">
        <f>VLOOKUP((B15),dim_respondents!$A$2:$G$71,7, FALSE)</f>
        <v>Tier 1</v>
      </c>
    </row>
    <row r="16" spans="1:11">
      <c r="A16">
        <v>103015</v>
      </c>
      <c r="B16">
        <v>120045</v>
      </c>
      <c r="C16" t="s">
        <v>7</v>
      </c>
      <c r="D16" s="1">
        <v>5</v>
      </c>
      <c r="E16" s="2" t="s">
        <v>9</v>
      </c>
      <c r="F16" t="s">
        <v>6</v>
      </c>
      <c r="G16" s="3" t="str">
        <f>VLOOKUP(B16, dim_respondents!$A$2:$F$71,2,FALSE)</f>
        <v>Azad Gera</v>
      </c>
      <c r="H16" s="3" t="str">
        <f>VLOOKUP((B16),dim_respondents!$A$2:$G$71,3, FALSE)</f>
        <v>65+</v>
      </c>
      <c r="I16" s="3" t="str">
        <f>VLOOKUP(B16,dim_respondents!$A$2:$G$71,4, FALSE)</f>
        <v>M</v>
      </c>
      <c r="J16" s="3" t="str">
        <f>VLOOKUP((B16),dim_respondents!$A$2:$G$71,6, FALSE)</f>
        <v>Bangalore</v>
      </c>
      <c r="K16" s="3" t="str">
        <f>VLOOKUP((B16),dim_respondents!$A$2:$G$71,7, FALSE)</f>
        <v>Tier 1</v>
      </c>
    </row>
    <row r="17" spans="1:11">
      <c r="A17">
        <v>103016</v>
      </c>
      <c r="B17">
        <v>120046</v>
      </c>
      <c r="C17" t="s">
        <v>7</v>
      </c>
      <c r="D17" s="1">
        <v>3</v>
      </c>
      <c r="E17" s="2" t="s">
        <v>9</v>
      </c>
      <c r="F17" t="s">
        <v>6</v>
      </c>
      <c r="G17" s="3" t="str">
        <f>VLOOKUP(B17, dim_respondents!$A$2:$F$71,2,FALSE)</f>
        <v>Aarav Bath</v>
      </c>
      <c r="H17" s="3" t="str">
        <f>VLOOKUP((B17),dim_respondents!$A$2:$G$71,3, FALSE)</f>
        <v>19-30</v>
      </c>
      <c r="I17" s="3" t="str">
        <f>VLOOKUP(B17,dim_respondents!$A$2:$G$71,4, FALSE)</f>
        <v>M</v>
      </c>
      <c r="J17" s="3" t="str">
        <f>VLOOKUP((B17),dim_respondents!$A$2:$G$71,6, FALSE)</f>
        <v>Chennai</v>
      </c>
      <c r="K17" s="3" t="str">
        <f>VLOOKUP((B17),dim_respondents!$A$2:$G$71,7, FALSE)</f>
        <v>Tier 1</v>
      </c>
    </row>
    <row r="18" spans="1:11">
      <c r="A18">
        <v>103017</v>
      </c>
      <c r="B18">
        <v>120047</v>
      </c>
      <c r="C18" t="s">
        <v>133</v>
      </c>
      <c r="D18" s="1">
        <v>4</v>
      </c>
      <c r="E18" s="2" t="s">
        <v>5</v>
      </c>
      <c r="F18" t="s">
        <v>6</v>
      </c>
      <c r="G18" s="3" t="str">
        <f>VLOOKUP(B18, dim_respondents!$A$2:$F$71,2,FALSE)</f>
        <v>Ojas Char</v>
      </c>
      <c r="H18" s="3" t="str">
        <f>VLOOKUP((B18),dim_respondents!$A$2:$G$71,3, FALSE)</f>
        <v>19-30</v>
      </c>
      <c r="I18" s="3" t="str">
        <f>VLOOKUP(B18,dim_respondents!$A$2:$G$71,4, FALSE)</f>
        <v>M</v>
      </c>
      <c r="J18" s="3" t="str">
        <f>VLOOKUP((B18),dim_respondents!$A$2:$G$71,6, FALSE)</f>
        <v>Mumbai</v>
      </c>
      <c r="K18" s="3" t="str">
        <f>VLOOKUP((B18),dim_respondents!$A$2:$G$71,7, FALSE)</f>
        <v>Tier 1</v>
      </c>
    </row>
    <row r="19" spans="1:11">
      <c r="A19">
        <v>103018</v>
      </c>
      <c r="B19">
        <v>120048</v>
      </c>
      <c r="C19" t="s">
        <v>15</v>
      </c>
      <c r="D19" s="1">
        <v>1</v>
      </c>
      <c r="E19" s="2" t="s">
        <v>8</v>
      </c>
      <c r="F19" t="s">
        <v>10</v>
      </c>
      <c r="G19" s="3" t="str">
        <f>VLOOKUP(B19, dim_respondents!$A$2:$F$71,2,FALSE)</f>
        <v>Advik Baria</v>
      </c>
      <c r="H19" s="3" t="str">
        <f>VLOOKUP((B19),dim_respondents!$A$2:$G$71,3, FALSE)</f>
        <v>19-30</v>
      </c>
      <c r="I19" s="3" t="str">
        <f>VLOOKUP(B19,dim_respondents!$A$2:$G$71,4, FALSE)</f>
        <v>M</v>
      </c>
      <c r="J19" s="3" t="str">
        <f>VLOOKUP((B19),dim_respondents!$A$2:$G$71,6, FALSE)</f>
        <v>Hyderabad</v>
      </c>
      <c r="K19" s="3" t="str">
        <f>VLOOKUP((B19),dim_respondents!$A$2:$G$71,7, FALSE)</f>
        <v>Tier 1</v>
      </c>
    </row>
    <row r="20" spans="1:11">
      <c r="A20">
        <v>103019</v>
      </c>
      <c r="B20">
        <v>120049</v>
      </c>
      <c r="C20" t="s">
        <v>7</v>
      </c>
      <c r="D20" s="1">
        <v>4</v>
      </c>
      <c r="E20" s="2" t="s">
        <v>5</v>
      </c>
      <c r="F20" t="s">
        <v>16</v>
      </c>
      <c r="G20" s="3" t="str">
        <f>VLOOKUP(B20, dim_respondents!$A$2:$F$71,2,FALSE)</f>
        <v>Dhruv Loyal</v>
      </c>
      <c r="H20" s="3" t="str">
        <f>VLOOKUP((B20),dim_respondents!$A$2:$G$71,3, FALSE)</f>
        <v>19-30</v>
      </c>
      <c r="I20" s="3" t="str">
        <f>VLOOKUP(B20,dim_respondents!$A$2:$G$71,4, FALSE)</f>
        <v>F</v>
      </c>
      <c r="J20" s="3" t="str">
        <f>VLOOKUP((B20),dim_respondents!$A$2:$G$71,6, FALSE)</f>
        <v>Bangalore</v>
      </c>
      <c r="K20" s="3" t="str">
        <f>VLOOKUP((B20),dim_respondents!$A$2:$G$71,7, FALSE)</f>
        <v>Tier 1</v>
      </c>
    </row>
    <row r="21" spans="1:11">
      <c r="A21">
        <v>103020</v>
      </c>
      <c r="B21">
        <v>120050</v>
      </c>
      <c r="C21" t="s">
        <v>134</v>
      </c>
      <c r="D21" s="1">
        <v>2</v>
      </c>
      <c r="E21" s="2" t="s">
        <v>5</v>
      </c>
      <c r="F21" t="s">
        <v>13</v>
      </c>
      <c r="G21" s="3" t="str">
        <f>VLOOKUP(B21, dim_respondents!$A$2:$F$71,2,FALSE)</f>
        <v>Dharmajan Doshi</v>
      </c>
      <c r="H21" s="3" t="str">
        <f>VLOOKUP((B21),dim_respondents!$A$2:$G$71,3, FALSE)</f>
        <v>31-45</v>
      </c>
      <c r="I21" s="3" t="str">
        <f>VLOOKUP(B21,dim_respondents!$A$2:$G$71,4, FALSE)</f>
        <v>F</v>
      </c>
      <c r="J21" s="3" t="str">
        <f>VLOOKUP((B21),dim_respondents!$A$2:$G$71,6, FALSE)</f>
        <v>Chennai</v>
      </c>
      <c r="K21" s="3" t="str">
        <f>VLOOKUP((B21),dim_respondents!$A$2:$G$71,7, FALSE)</f>
        <v>Tier 1</v>
      </c>
    </row>
    <row r="22" spans="1:11">
      <c r="A22">
        <v>103021</v>
      </c>
      <c r="B22">
        <v>120051</v>
      </c>
      <c r="C22" t="s">
        <v>14</v>
      </c>
      <c r="D22" s="1">
        <v>3</v>
      </c>
      <c r="E22" s="2" t="s">
        <v>5</v>
      </c>
      <c r="F22" t="s">
        <v>10</v>
      </c>
      <c r="G22" s="3" t="str">
        <f>VLOOKUP(B22, dim_respondents!$A$2:$F$71,2,FALSE)</f>
        <v>Diya Srinivas</v>
      </c>
      <c r="H22" s="3" t="str">
        <f>VLOOKUP((B22),dim_respondents!$A$2:$G$71,3, FALSE)</f>
        <v>19-30</v>
      </c>
      <c r="I22" s="3" t="str">
        <f>VLOOKUP(B22,dim_respondents!$A$2:$G$71,4, FALSE)</f>
        <v>M</v>
      </c>
      <c r="J22" s="3" t="str">
        <f>VLOOKUP((B22),dim_respondents!$A$2:$G$71,6, FALSE)</f>
        <v>Pune</v>
      </c>
      <c r="K22" s="3" t="str">
        <f>VLOOKUP((B22),dim_respondents!$A$2:$G$71,7, FALSE)</f>
        <v>Tier 2</v>
      </c>
    </row>
    <row r="23" spans="1:11">
      <c r="A23">
        <v>103022</v>
      </c>
      <c r="B23">
        <v>120052</v>
      </c>
      <c r="C23" t="s">
        <v>14</v>
      </c>
      <c r="D23" s="1">
        <v>4</v>
      </c>
      <c r="E23" s="2" t="s">
        <v>5</v>
      </c>
      <c r="F23" t="s">
        <v>6</v>
      </c>
      <c r="G23" s="3" t="str">
        <f>VLOOKUP(B23, dim_respondents!$A$2:$F$71,2,FALSE)</f>
        <v>Alia Lala</v>
      </c>
      <c r="H23" s="3" t="str">
        <f>VLOOKUP((B23),dim_respondents!$A$2:$G$71,3, FALSE)</f>
        <v>31-45</v>
      </c>
      <c r="I23" s="3" t="str">
        <f>VLOOKUP(B23,dim_respondents!$A$2:$G$71,4, FALSE)</f>
        <v>Non-binary</v>
      </c>
      <c r="J23" s="3" t="str">
        <f>VLOOKUP((B23),dim_respondents!$A$2:$G$71,6, FALSE)</f>
        <v>Mumbai</v>
      </c>
      <c r="K23" s="3" t="str">
        <f>VLOOKUP((B23),dim_respondents!$A$2:$G$71,7, FALSE)</f>
        <v>Tier 1</v>
      </c>
    </row>
    <row r="24" spans="1:11">
      <c r="A24">
        <v>103023</v>
      </c>
      <c r="B24">
        <v>120053</v>
      </c>
      <c r="C24" t="s">
        <v>11</v>
      </c>
      <c r="D24" s="1">
        <v>3</v>
      </c>
      <c r="E24" s="2" t="s">
        <v>5</v>
      </c>
      <c r="F24" t="s">
        <v>10</v>
      </c>
      <c r="G24" s="3" t="str">
        <f>VLOOKUP(B24, dim_respondents!$A$2:$F$71,2,FALSE)</f>
        <v>Samaira Lad</v>
      </c>
      <c r="H24" s="3" t="str">
        <f>VLOOKUP((B24),dim_respondents!$A$2:$G$71,3, FALSE)</f>
        <v>19-30</v>
      </c>
      <c r="I24" s="3" t="str">
        <f>VLOOKUP(B24,dim_respondents!$A$2:$G$71,4, FALSE)</f>
        <v>M</v>
      </c>
      <c r="J24" s="3" t="str">
        <f>VLOOKUP((B24),dim_respondents!$A$2:$G$71,6, FALSE)</f>
        <v>Mumbai</v>
      </c>
      <c r="K24" s="3" t="str">
        <f>VLOOKUP((B24),dim_respondents!$A$2:$G$71,7, FALSE)</f>
        <v>Tier 1</v>
      </c>
    </row>
    <row r="25" spans="1:11">
      <c r="A25">
        <v>103024</v>
      </c>
      <c r="B25">
        <v>120054</v>
      </c>
      <c r="C25" t="s">
        <v>7</v>
      </c>
      <c r="D25" s="1">
        <v>1</v>
      </c>
      <c r="E25" s="2" t="s">
        <v>8</v>
      </c>
      <c r="F25" t="s">
        <v>10</v>
      </c>
      <c r="G25" s="3" t="str">
        <f>VLOOKUP(B25, dim_respondents!$A$2:$F$71,2,FALSE)</f>
        <v>Pari Subramaniam</v>
      </c>
      <c r="H25" s="3" t="str">
        <f>VLOOKUP((B25),dim_respondents!$A$2:$G$71,3, FALSE)</f>
        <v>19-30</v>
      </c>
      <c r="I25" s="3" t="str">
        <f>VLOOKUP(B25,dim_respondents!$A$2:$G$71,4, FALSE)</f>
        <v>M</v>
      </c>
      <c r="J25" s="3" t="str">
        <f>VLOOKUP((B25),dim_respondents!$A$2:$G$71,6, FALSE)</f>
        <v>Chennai</v>
      </c>
      <c r="K25" s="3" t="str">
        <f>VLOOKUP((B25),dim_respondents!$A$2:$G$71,7, FALSE)</f>
        <v>Tier 1</v>
      </c>
    </row>
    <row r="26" spans="1:11">
      <c r="A26">
        <v>103025</v>
      </c>
      <c r="B26">
        <v>120055</v>
      </c>
      <c r="C26" t="s">
        <v>11</v>
      </c>
      <c r="D26" s="1">
        <v>3</v>
      </c>
      <c r="E26" s="2" t="s">
        <v>9</v>
      </c>
      <c r="F26" t="s">
        <v>12</v>
      </c>
      <c r="G26" s="3" t="str">
        <f>VLOOKUP(B26, dim_respondents!$A$2:$F$71,2,FALSE)</f>
        <v>Umang Sarkar</v>
      </c>
      <c r="H26" s="3" t="str">
        <f>VLOOKUP((B26),dim_respondents!$A$2:$G$71,3, FALSE)</f>
        <v>31-45</v>
      </c>
      <c r="I26" s="3" t="str">
        <f>VLOOKUP(B26,dim_respondents!$A$2:$G$71,4, FALSE)</f>
        <v>Non-binary</v>
      </c>
      <c r="J26" s="3" t="str">
        <f>VLOOKUP((B26),dim_respondents!$A$2:$G$71,6, FALSE)</f>
        <v>Ahmedabad</v>
      </c>
      <c r="K26" s="3" t="str">
        <f>VLOOKUP((B26),dim_respondents!$A$2:$G$71,7, FALSE)</f>
        <v>Tier 2</v>
      </c>
    </row>
    <row r="27" spans="1:11">
      <c r="A27">
        <v>103026</v>
      </c>
      <c r="B27">
        <v>120056</v>
      </c>
      <c r="C27" t="s">
        <v>11</v>
      </c>
      <c r="D27" s="1">
        <v>1</v>
      </c>
      <c r="E27" s="2" t="s">
        <v>5</v>
      </c>
      <c r="F27" t="s">
        <v>12</v>
      </c>
      <c r="G27" s="3" t="str">
        <f>VLOOKUP(B27, dim_respondents!$A$2:$F$71,2,FALSE)</f>
        <v>Rhea Kar</v>
      </c>
      <c r="H27" s="3" t="str">
        <f>VLOOKUP((B27),dim_respondents!$A$2:$G$71,3, FALSE)</f>
        <v>19-30</v>
      </c>
      <c r="I27" s="3" t="str">
        <f>VLOOKUP(B27,dim_respondents!$A$2:$G$71,4, FALSE)</f>
        <v>M</v>
      </c>
      <c r="J27" s="3" t="str">
        <f>VLOOKUP((B27),dim_respondents!$A$2:$G$71,6, FALSE)</f>
        <v>Pune</v>
      </c>
      <c r="K27" s="3" t="str">
        <f>VLOOKUP((B27),dim_respondents!$A$2:$G$71,7, FALSE)</f>
        <v>Tier 2</v>
      </c>
    </row>
    <row r="28" spans="1:11">
      <c r="A28">
        <v>103027</v>
      </c>
      <c r="B28">
        <v>120057</v>
      </c>
      <c r="C28" t="s">
        <v>14</v>
      </c>
      <c r="D28" s="1">
        <v>2</v>
      </c>
      <c r="E28" s="2" t="s">
        <v>5</v>
      </c>
      <c r="F28" t="s">
        <v>10</v>
      </c>
      <c r="G28" s="3" t="str">
        <f>VLOOKUP(B28, dim_respondents!$A$2:$F$71,2,FALSE)</f>
        <v>Kanav Thaman</v>
      </c>
      <c r="H28" s="3" t="str">
        <f>VLOOKUP((B28),dim_respondents!$A$2:$G$71,3, FALSE)</f>
        <v>19-30</v>
      </c>
      <c r="I28" s="3" t="str">
        <f>VLOOKUP(B28,dim_respondents!$A$2:$G$71,4, FALSE)</f>
        <v>M</v>
      </c>
      <c r="J28" s="3" t="str">
        <f>VLOOKUP((B28),dim_respondents!$A$2:$G$71,6, FALSE)</f>
        <v>Ahmedabad</v>
      </c>
      <c r="K28" s="3" t="str">
        <f>VLOOKUP((B28),dim_respondents!$A$2:$G$71,7, FALSE)</f>
        <v>Tier 2</v>
      </c>
    </row>
    <row r="29" spans="1:11">
      <c r="A29">
        <v>103028</v>
      </c>
      <c r="B29">
        <v>120058</v>
      </c>
      <c r="C29" t="s">
        <v>15</v>
      </c>
      <c r="D29" s="1">
        <v>5</v>
      </c>
      <c r="E29" s="2" t="s">
        <v>8</v>
      </c>
      <c r="F29" t="s">
        <v>6</v>
      </c>
      <c r="G29" s="3" t="str">
        <f>VLOOKUP(B29, dim_respondents!$A$2:$F$71,2,FALSE)</f>
        <v>Biju Bera</v>
      </c>
      <c r="H29" s="3" t="str">
        <f>VLOOKUP((B29),dim_respondents!$A$2:$G$71,3, FALSE)</f>
        <v>19-30</v>
      </c>
      <c r="I29" s="3" t="str">
        <f>VLOOKUP(B29,dim_respondents!$A$2:$G$71,4, FALSE)</f>
        <v>F</v>
      </c>
      <c r="J29" s="3" t="str">
        <f>VLOOKUP((B29),dim_respondents!$A$2:$G$71,6, FALSE)</f>
        <v>Jaipur</v>
      </c>
      <c r="K29" s="3" t="str">
        <f>VLOOKUP((B29),dim_respondents!$A$2:$G$71,7, FALSE)</f>
        <v>Tier 2</v>
      </c>
    </row>
    <row r="30" spans="1:11">
      <c r="A30">
        <v>103029</v>
      </c>
      <c r="B30">
        <v>120059</v>
      </c>
      <c r="C30" t="s">
        <v>134</v>
      </c>
      <c r="D30" s="1">
        <v>3</v>
      </c>
      <c r="E30" s="2" t="s">
        <v>17</v>
      </c>
      <c r="F30" t="s">
        <v>13</v>
      </c>
      <c r="G30" s="3" t="str">
        <f>VLOOKUP(B30, dim_respondents!$A$2:$F$71,2,FALSE)</f>
        <v>Sana Bumb</v>
      </c>
      <c r="H30" s="3" t="str">
        <f>VLOOKUP((B30),dim_respondents!$A$2:$G$71,3, FALSE)</f>
        <v>19-30</v>
      </c>
      <c r="I30" s="3" t="str">
        <f>VLOOKUP(B30,dim_respondents!$A$2:$G$71,4, FALSE)</f>
        <v>M</v>
      </c>
      <c r="J30" s="3" t="str">
        <f>VLOOKUP((B30),dim_respondents!$A$2:$G$71,6, FALSE)</f>
        <v>Bangalore</v>
      </c>
      <c r="K30" s="3" t="str">
        <f>VLOOKUP((B30),dim_respondents!$A$2:$G$71,7, FALSE)</f>
        <v>Tier 1</v>
      </c>
    </row>
    <row r="31" spans="1:11">
      <c r="A31">
        <v>103030</v>
      </c>
      <c r="B31">
        <v>120060</v>
      </c>
      <c r="C31" t="s">
        <v>14</v>
      </c>
      <c r="D31" s="1">
        <v>4</v>
      </c>
      <c r="E31" s="2" t="s">
        <v>5</v>
      </c>
      <c r="F31" t="s">
        <v>10</v>
      </c>
      <c r="G31" s="3" t="str">
        <f>VLOOKUP(B31, dim_respondents!$A$2:$F$71,2,FALSE)</f>
        <v>Piya Sani</v>
      </c>
      <c r="H31" s="3" t="str">
        <f>VLOOKUP((B31),dim_respondents!$A$2:$G$71,3, FALSE)</f>
        <v>19-30</v>
      </c>
      <c r="I31" s="3" t="str">
        <f>VLOOKUP(B31,dim_respondents!$A$2:$G$71,4, FALSE)</f>
        <v>M</v>
      </c>
      <c r="J31" s="3" t="str">
        <f>VLOOKUP((B31),dim_respondents!$A$2:$G$71,6, FALSE)</f>
        <v>Pune</v>
      </c>
      <c r="K31" s="3" t="str">
        <f>VLOOKUP((B31),dim_respondents!$A$2:$G$71,7, FALSE)</f>
        <v>Tier 2</v>
      </c>
    </row>
    <row r="32" spans="1:11">
      <c r="A32">
        <v>103031</v>
      </c>
      <c r="B32">
        <v>120061</v>
      </c>
      <c r="C32" t="s">
        <v>14</v>
      </c>
      <c r="D32" s="1">
        <v>1</v>
      </c>
      <c r="E32" s="2" t="s">
        <v>9</v>
      </c>
      <c r="F32" t="s">
        <v>12</v>
      </c>
      <c r="G32" s="3" t="str">
        <f>VLOOKUP(B32, dim_respondents!$A$2:$F$71,2,FALSE)</f>
        <v>Yuvaan Kari</v>
      </c>
      <c r="H32" s="3" t="str">
        <f>VLOOKUP((B32),dim_respondents!$A$2:$G$71,3, FALSE)</f>
        <v>19-30</v>
      </c>
      <c r="I32" s="3" t="str">
        <f>VLOOKUP(B32,dim_respondents!$A$2:$G$71,4, FALSE)</f>
        <v>M</v>
      </c>
      <c r="J32" s="3" t="str">
        <f>VLOOKUP((B32),dim_respondents!$A$2:$G$71,6, FALSE)</f>
        <v>Hyderabad</v>
      </c>
      <c r="K32" s="3" t="str">
        <f>VLOOKUP((B32),dim_respondents!$A$2:$G$71,7, FALSE)</f>
        <v>Tier 1</v>
      </c>
    </row>
    <row r="33" spans="1:11">
      <c r="A33">
        <v>103032</v>
      </c>
      <c r="B33">
        <v>120062</v>
      </c>
      <c r="C33" t="s">
        <v>11</v>
      </c>
      <c r="D33" s="1">
        <v>4</v>
      </c>
      <c r="E33" s="2" t="s">
        <v>17</v>
      </c>
      <c r="F33" t="s">
        <v>6</v>
      </c>
      <c r="G33" s="3" t="str">
        <f>VLOOKUP(B33, dim_respondents!$A$2:$F$71,2,FALSE)</f>
        <v>Tanya Deshmukh</v>
      </c>
      <c r="H33" s="3" t="str">
        <f>VLOOKUP((B33),dim_respondents!$A$2:$G$71,3, FALSE)</f>
        <v>19-30</v>
      </c>
      <c r="I33" s="3" t="str">
        <f>VLOOKUP(B33,dim_respondents!$A$2:$G$71,4, FALSE)</f>
        <v>M</v>
      </c>
      <c r="J33" s="3" t="str">
        <f>VLOOKUP((B33),dim_respondents!$A$2:$G$71,6, FALSE)</f>
        <v>Hyderabad</v>
      </c>
      <c r="K33" s="3" t="str">
        <f>VLOOKUP((B33),dim_respondents!$A$2:$G$71,7, FALSE)</f>
        <v>Tier 1</v>
      </c>
    </row>
    <row r="34" spans="1:11">
      <c r="A34">
        <v>103033</v>
      </c>
      <c r="B34">
        <v>120063</v>
      </c>
      <c r="C34" t="s">
        <v>133</v>
      </c>
      <c r="D34" s="1">
        <v>3</v>
      </c>
      <c r="E34" s="2" t="s">
        <v>5</v>
      </c>
      <c r="F34" t="s">
        <v>6</v>
      </c>
      <c r="G34" s="3" t="str">
        <f>VLOOKUP(B34, dim_respondents!$A$2:$F$71,2,FALSE)</f>
        <v>Diya Sunder</v>
      </c>
      <c r="H34" s="3" t="str">
        <f>VLOOKUP((B34),dim_respondents!$A$2:$G$71,3, FALSE)</f>
        <v>19-30</v>
      </c>
      <c r="I34" s="3" t="str">
        <f>VLOOKUP(B34,dim_respondents!$A$2:$G$71,4, FALSE)</f>
        <v>M</v>
      </c>
      <c r="J34" s="3" t="str">
        <f>VLOOKUP((B34),dim_respondents!$A$2:$G$71,6, FALSE)</f>
        <v>Chennai</v>
      </c>
      <c r="K34" s="3" t="str">
        <f>VLOOKUP((B34),dim_respondents!$A$2:$G$71,7, FALSE)</f>
        <v>Tier 1</v>
      </c>
    </row>
    <row r="35" spans="1:11">
      <c r="A35">
        <v>103034</v>
      </c>
      <c r="B35">
        <v>120064</v>
      </c>
      <c r="C35" t="s">
        <v>14</v>
      </c>
      <c r="D35" s="1">
        <v>4</v>
      </c>
      <c r="E35" s="2" t="s">
        <v>9</v>
      </c>
      <c r="F35" t="s">
        <v>6</v>
      </c>
      <c r="G35" s="3" t="str">
        <f>VLOOKUP(B35, dim_respondents!$A$2:$F$71,2,FALSE)</f>
        <v>Shanaya Kadakia</v>
      </c>
      <c r="H35" s="3" t="str">
        <f>VLOOKUP((B35),dim_respondents!$A$2:$G$71,3, FALSE)</f>
        <v>15-18</v>
      </c>
      <c r="I35" s="3" t="str">
        <f>VLOOKUP(B35,dim_respondents!$A$2:$G$71,4, FALSE)</f>
        <v>M</v>
      </c>
      <c r="J35" s="3" t="str">
        <f>VLOOKUP((B35),dim_respondents!$A$2:$G$71,6, FALSE)</f>
        <v>Pune</v>
      </c>
      <c r="K35" s="3" t="str">
        <f>VLOOKUP((B35),dim_respondents!$A$2:$G$71,7, FALSE)</f>
        <v>Tier 2</v>
      </c>
    </row>
    <row r="36" spans="1:11">
      <c r="A36">
        <v>103035</v>
      </c>
      <c r="B36">
        <v>120065</v>
      </c>
      <c r="C36" t="s">
        <v>133</v>
      </c>
      <c r="D36" s="1">
        <v>2</v>
      </c>
      <c r="E36" s="2" t="s">
        <v>5</v>
      </c>
      <c r="F36" t="s">
        <v>6</v>
      </c>
      <c r="G36" s="3" t="str">
        <f>VLOOKUP(B36, dim_respondents!$A$2:$F$71,2,FALSE)</f>
        <v>Shamik Chaudry</v>
      </c>
      <c r="H36" s="3" t="str">
        <f>VLOOKUP((B36),dim_respondents!$A$2:$G$71,3, FALSE)</f>
        <v>19-30</v>
      </c>
      <c r="I36" s="3" t="str">
        <f>VLOOKUP(B36,dim_respondents!$A$2:$G$71,4, FALSE)</f>
        <v>M</v>
      </c>
      <c r="J36" s="3" t="str">
        <f>VLOOKUP((B36),dim_respondents!$A$2:$G$71,6, FALSE)</f>
        <v>Kolkata</v>
      </c>
      <c r="K36" s="3" t="str">
        <f>VLOOKUP((B36),dim_respondents!$A$2:$G$71,7, FALSE)</f>
        <v>Tier 2</v>
      </c>
    </row>
    <row r="37" spans="1:11">
      <c r="A37">
        <v>103036</v>
      </c>
      <c r="B37">
        <v>120066</v>
      </c>
      <c r="C37" t="s">
        <v>133</v>
      </c>
      <c r="D37" s="1">
        <v>2</v>
      </c>
      <c r="E37" s="2" t="s">
        <v>8</v>
      </c>
      <c r="F37" t="s">
        <v>6</v>
      </c>
      <c r="G37" s="3" t="str">
        <f>VLOOKUP(B37, dim_respondents!$A$2:$F$71,2,FALSE)</f>
        <v>Yashvi Deo</v>
      </c>
      <c r="H37" s="3" t="str">
        <f>VLOOKUP((B37),dim_respondents!$A$2:$G$71,3, FALSE)</f>
        <v>19-30</v>
      </c>
      <c r="I37" s="3" t="str">
        <f>VLOOKUP(B37,dim_respondents!$A$2:$G$71,4, FALSE)</f>
        <v>F</v>
      </c>
      <c r="J37" s="3" t="str">
        <f>VLOOKUP((B37),dim_respondents!$A$2:$G$71,6, FALSE)</f>
        <v>Hyderabad</v>
      </c>
      <c r="K37" s="3" t="str">
        <f>VLOOKUP((B37),dim_respondents!$A$2:$G$71,7, FALSE)</f>
        <v>Tier 1</v>
      </c>
    </row>
    <row r="38" spans="1:11">
      <c r="A38">
        <v>103037</v>
      </c>
      <c r="B38">
        <v>120067</v>
      </c>
      <c r="C38" t="s">
        <v>11</v>
      </c>
      <c r="D38" s="1">
        <v>3</v>
      </c>
      <c r="E38" s="2" t="s">
        <v>5</v>
      </c>
      <c r="F38" t="s">
        <v>10</v>
      </c>
      <c r="G38" s="3" t="str">
        <f>VLOOKUP(B38, dim_respondents!$A$2:$F$71,2,FALSE)</f>
        <v>Eshani Bahl</v>
      </c>
      <c r="H38" s="3" t="str">
        <f>VLOOKUP((B38),dim_respondents!$A$2:$G$71,3, FALSE)</f>
        <v>65+</v>
      </c>
      <c r="I38" s="3" t="str">
        <f>VLOOKUP(B38,dim_respondents!$A$2:$G$71,4, FALSE)</f>
        <v>M</v>
      </c>
      <c r="J38" s="3" t="str">
        <f>VLOOKUP((B38),dim_respondents!$A$2:$G$71,6, FALSE)</f>
        <v>Pune</v>
      </c>
      <c r="K38" s="3" t="str">
        <f>VLOOKUP((B38),dim_respondents!$A$2:$G$71,7, FALSE)</f>
        <v>Tier 2</v>
      </c>
    </row>
    <row r="39" spans="1:11">
      <c r="A39">
        <v>103038</v>
      </c>
      <c r="B39">
        <v>120068</v>
      </c>
      <c r="C39" t="s">
        <v>18</v>
      </c>
      <c r="D39" s="1">
        <v>1</v>
      </c>
      <c r="E39" s="2" t="s">
        <v>8</v>
      </c>
      <c r="F39" t="s">
        <v>6</v>
      </c>
      <c r="G39" s="3" t="str">
        <f>VLOOKUP(B39, dim_respondents!$A$2:$F$71,2,FALSE)</f>
        <v>Anahi Ganguly</v>
      </c>
      <c r="H39" s="3" t="str">
        <f>VLOOKUP((B39),dim_respondents!$A$2:$G$71,3, FALSE)</f>
        <v>15-18</v>
      </c>
      <c r="I39" s="3" t="str">
        <f>VLOOKUP(B39,dim_respondents!$A$2:$G$71,4, FALSE)</f>
        <v>F</v>
      </c>
      <c r="J39" s="3" t="str">
        <f>VLOOKUP((B39),dim_respondents!$A$2:$G$71,6, FALSE)</f>
        <v>Hyderabad</v>
      </c>
      <c r="K39" s="3" t="str">
        <f>VLOOKUP((B39),dim_respondents!$A$2:$G$71,7, FALSE)</f>
        <v>Tier 1</v>
      </c>
    </row>
    <row r="40" spans="1:11">
      <c r="A40">
        <v>103039</v>
      </c>
      <c r="B40">
        <v>120069</v>
      </c>
      <c r="C40" t="s">
        <v>7</v>
      </c>
      <c r="D40" s="1">
        <v>2</v>
      </c>
      <c r="E40" s="2" t="s">
        <v>5</v>
      </c>
      <c r="F40" t="s">
        <v>6</v>
      </c>
      <c r="G40" s="3" t="str">
        <f>VLOOKUP(B40, dim_respondents!$A$2:$F$71,2,FALSE)</f>
        <v>Kismat Lata</v>
      </c>
      <c r="H40" s="3" t="str">
        <f>VLOOKUP((B40),dim_respondents!$A$2:$G$71,3, FALSE)</f>
        <v>19-30</v>
      </c>
      <c r="I40" s="3" t="str">
        <f>VLOOKUP(B40,dim_respondents!$A$2:$G$71,4, FALSE)</f>
        <v>F</v>
      </c>
      <c r="J40" s="3" t="str">
        <f>VLOOKUP((B40),dim_respondents!$A$2:$G$71,6, FALSE)</f>
        <v>Mumbai</v>
      </c>
      <c r="K40" s="3" t="str">
        <f>VLOOKUP((B40),dim_respondents!$A$2:$G$71,7, FALSE)</f>
        <v>Tier 1</v>
      </c>
    </row>
    <row r="41" spans="1:11">
      <c r="A41">
        <v>103040</v>
      </c>
      <c r="B41">
        <v>120070</v>
      </c>
      <c r="C41" t="s">
        <v>133</v>
      </c>
      <c r="D41" s="1">
        <v>5</v>
      </c>
      <c r="E41" s="2" t="s">
        <v>8</v>
      </c>
      <c r="F41" t="s">
        <v>12</v>
      </c>
      <c r="G41" s="3" t="str">
        <f>VLOOKUP(B41, dim_respondents!$A$2:$F$71,2,FALSE)</f>
        <v>Anya Gill</v>
      </c>
      <c r="H41" s="3" t="str">
        <f>VLOOKUP((B41),dim_respondents!$A$2:$G$71,3, FALSE)</f>
        <v>31-45</v>
      </c>
      <c r="I41" s="3" t="str">
        <f>VLOOKUP(B41,dim_respondents!$A$2:$G$71,4, FALSE)</f>
        <v>M</v>
      </c>
      <c r="J41" s="3" t="str">
        <f>VLOOKUP((B41),dim_respondents!$A$2:$G$71,6, FALSE)</f>
        <v>Hyderabad</v>
      </c>
      <c r="K41" s="3" t="str">
        <f>VLOOKUP((B41),dim_respondents!$A$2:$G$71,7, FALSE)</f>
        <v>Tier 1</v>
      </c>
    </row>
    <row r="42" spans="1:11">
      <c r="A42">
        <v>103041</v>
      </c>
      <c r="B42">
        <v>120071</v>
      </c>
      <c r="C42" t="s">
        <v>7</v>
      </c>
      <c r="D42" s="1">
        <v>3</v>
      </c>
      <c r="E42" s="2" t="s">
        <v>8</v>
      </c>
      <c r="F42" t="s">
        <v>6</v>
      </c>
      <c r="G42" s="3" t="str">
        <f>VLOOKUP(B42, dim_respondents!$A$2:$F$71,2,FALSE)</f>
        <v>Pranay Tella</v>
      </c>
      <c r="H42" s="3" t="str">
        <f>VLOOKUP((B42),dim_respondents!$A$2:$G$71,3, FALSE)</f>
        <v>15-18</v>
      </c>
      <c r="I42" s="3" t="str">
        <f>VLOOKUP(B42,dim_respondents!$A$2:$G$71,4, FALSE)</f>
        <v>F</v>
      </c>
      <c r="J42" s="3" t="str">
        <f>VLOOKUP((B42),dim_respondents!$A$2:$G$71,6, FALSE)</f>
        <v>Bangalore</v>
      </c>
      <c r="K42" s="3" t="str">
        <f>VLOOKUP((B42),dim_respondents!$A$2:$G$71,7, FALSE)</f>
        <v>Tier 1</v>
      </c>
    </row>
    <row r="43" spans="1:11">
      <c r="A43">
        <v>103042</v>
      </c>
      <c r="B43">
        <v>120072</v>
      </c>
      <c r="C43" t="s">
        <v>15</v>
      </c>
      <c r="D43" s="1">
        <v>4</v>
      </c>
      <c r="E43" s="2" t="s">
        <v>9</v>
      </c>
      <c r="F43" t="s">
        <v>6</v>
      </c>
      <c r="G43" s="3" t="str">
        <f>VLOOKUP(B43, dim_respondents!$A$2:$F$71,2,FALSE)</f>
        <v>Parinaaz Goel</v>
      </c>
      <c r="H43" s="3" t="str">
        <f>VLOOKUP((B43),dim_respondents!$A$2:$G$71,3, FALSE)</f>
        <v>46-65</v>
      </c>
      <c r="I43" s="3" t="str">
        <f>VLOOKUP(B43,dim_respondents!$A$2:$G$71,4, FALSE)</f>
        <v>Non-binary</v>
      </c>
      <c r="J43" s="3" t="str">
        <f>VLOOKUP((B43),dim_respondents!$A$2:$G$71,6, FALSE)</f>
        <v>Pune</v>
      </c>
      <c r="K43" s="3" t="str">
        <f>VLOOKUP((B43),dim_respondents!$A$2:$G$71,7, FALSE)</f>
        <v>Tier 2</v>
      </c>
    </row>
    <row r="44" spans="1:11">
      <c r="A44">
        <v>103043</v>
      </c>
      <c r="B44">
        <v>120073</v>
      </c>
      <c r="C44" t="s">
        <v>18</v>
      </c>
      <c r="D44" s="1">
        <v>1</v>
      </c>
      <c r="E44" s="2" t="s">
        <v>5</v>
      </c>
      <c r="F44" t="s">
        <v>10</v>
      </c>
      <c r="G44" s="3" t="str">
        <f>VLOOKUP(B44, dim_respondents!$A$2:$F$71,2,FALSE)</f>
        <v>Divit Gandhi</v>
      </c>
      <c r="H44" s="3" t="str">
        <f>VLOOKUP((B44),dim_respondents!$A$2:$G$71,3, FALSE)</f>
        <v>19-30</v>
      </c>
      <c r="I44" s="3" t="str">
        <f>VLOOKUP(B44,dim_respondents!$A$2:$G$71,4, FALSE)</f>
        <v>F</v>
      </c>
      <c r="J44" s="3" t="str">
        <f>VLOOKUP((B44),dim_respondents!$A$2:$G$71,6, FALSE)</f>
        <v>Hyderabad</v>
      </c>
      <c r="K44" s="3" t="str">
        <f>VLOOKUP((B44),dim_respondents!$A$2:$G$71,7, FALSE)</f>
        <v>Tier 1</v>
      </c>
    </row>
    <row r="45" spans="1:11">
      <c r="A45">
        <v>103044</v>
      </c>
      <c r="B45">
        <v>120074</v>
      </c>
      <c r="C45" t="s">
        <v>11</v>
      </c>
      <c r="D45" s="1">
        <v>4</v>
      </c>
      <c r="E45" s="2" t="s">
        <v>5</v>
      </c>
      <c r="F45" t="s">
        <v>12</v>
      </c>
      <c r="G45" s="3" t="str">
        <f>VLOOKUP(B45, dim_respondents!$A$2:$F$71,2,FALSE)</f>
        <v>Saanvi Reddy</v>
      </c>
      <c r="H45" s="3" t="str">
        <f>VLOOKUP((B45),dim_respondents!$A$2:$G$71,3, FALSE)</f>
        <v>19-30</v>
      </c>
      <c r="I45" s="3" t="str">
        <f>VLOOKUP(B45,dim_respondents!$A$2:$G$71,4, FALSE)</f>
        <v>F</v>
      </c>
      <c r="J45" s="3" t="str">
        <f>VLOOKUP((B45),dim_respondents!$A$2:$G$71,6, FALSE)</f>
        <v>Mumbai</v>
      </c>
      <c r="K45" s="3" t="str">
        <f>VLOOKUP((B45),dim_respondents!$A$2:$G$71,7, FALSE)</f>
        <v>Tier 1</v>
      </c>
    </row>
    <row r="46" spans="1:11">
      <c r="A46">
        <v>103045</v>
      </c>
      <c r="B46">
        <v>120075</v>
      </c>
      <c r="C46" t="s">
        <v>7</v>
      </c>
      <c r="D46" s="1">
        <v>2</v>
      </c>
      <c r="E46" s="2" t="s">
        <v>5</v>
      </c>
      <c r="F46" t="s">
        <v>6</v>
      </c>
      <c r="G46" s="3" t="str">
        <f>VLOOKUP(B46, dim_respondents!$A$2:$F$71,2,FALSE)</f>
        <v>Jhanvi Samra</v>
      </c>
      <c r="H46" s="3" t="str">
        <f>VLOOKUP((B46),dim_respondents!$A$2:$G$71,3, FALSE)</f>
        <v>31-45</v>
      </c>
      <c r="I46" s="3" t="str">
        <f>VLOOKUP(B46,dim_respondents!$A$2:$G$71,4, FALSE)</f>
        <v>M</v>
      </c>
      <c r="J46" s="3" t="str">
        <f>VLOOKUP((B46),dim_respondents!$A$2:$G$71,6, FALSE)</f>
        <v>Bangalore</v>
      </c>
      <c r="K46" s="3" t="str">
        <f>VLOOKUP((B46),dim_respondents!$A$2:$G$71,7, FALSE)</f>
        <v>Tier 1</v>
      </c>
    </row>
    <row r="47" spans="1:11">
      <c r="A47">
        <v>103046</v>
      </c>
      <c r="B47">
        <v>120076</v>
      </c>
      <c r="C47" t="s">
        <v>14</v>
      </c>
      <c r="D47" s="1">
        <v>4</v>
      </c>
      <c r="E47" s="2" t="s">
        <v>5</v>
      </c>
      <c r="F47" t="s">
        <v>6</v>
      </c>
      <c r="G47" s="3" t="str">
        <f>VLOOKUP(B47, dim_respondents!$A$2:$F$71,2,FALSE)</f>
        <v>Ryan Dasgupta</v>
      </c>
      <c r="H47" s="3" t="str">
        <f>VLOOKUP((B47),dim_respondents!$A$2:$G$71,3, FALSE)</f>
        <v>19-30</v>
      </c>
      <c r="I47" s="3" t="str">
        <f>VLOOKUP(B47,dim_respondents!$A$2:$G$71,4, FALSE)</f>
        <v>M</v>
      </c>
      <c r="J47" s="3" t="str">
        <f>VLOOKUP((B47),dim_respondents!$A$2:$G$71,6, FALSE)</f>
        <v>Bangalore</v>
      </c>
      <c r="K47" s="3" t="str">
        <f>VLOOKUP((B47),dim_respondents!$A$2:$G$71,7, FALSE)</f>
        <v>Tier 1</v>
      </c>
    </row>
    <row r="48" spans="1:11">
      <c r="A48">
        <v>103047</v>
      </c>
      <c r="B48">
        <v>120077</v>
      </c>
      <c r="C48" t="s">
        <v>11</v>
      </c>
      <c r="D48" s="1">
        <v>4</v>
      </c>
      <c r="E48" s="2" t="s">
        <v>5</v>
      </c>
      <c r="F48" t="s">
        <v>6</v>
      </c>
      <c r="G48" s="3" t="str">
        <f>VLOOKUP(B48, dim_respondents!$A$2:$F$71,2,FALSE)</f>
        <v>Tarini Acharya</v>
      </c>
      <c r="H48" s="3" t="str">
        <f>VLOOKUP((B48),dim_respondents!$A$2:$G$71,3, FALSE)</f>
        <v>19-30</v>
      </c>
      <c r="I48" s="3" t="str">
        <f>VLOOKUP(B48,dim_respondents!$A$2:$G$71,4, FALSE)</f>
        <v>M</v>
      </c>
      <c r="J48" s="3" t="str">
        <f>VLOOKUP((B48),dim_respondents!$A$2:$G$71,6, FALSE)</f>
        <v>Hyderabad</v>
      </c>
      <c r="K48" s="3" t="str">
        <f>VLOOKUP((B48),dim_respondents!$A$2:$G$71,7, FALSE)</f>
        <v>Tier 1</v>
      </c>
    </row>
    <row r="49" spans="1:11">
      <c r="A49">
        <v>103048</v>
      </c>
      <c r="B49">
        <v>120078</v>
      </c>
      <c r="C49" t="s">
        <v>134</v>
      </c>
      <c r="D49" s="1">
        <v>3</v>
      </c>
      <c r="E49" s="2" t="s">
        <v>8</v>
      </c>
      <c r="F49" t="s">
        <v>6</v>
      </c>
      <c r="G49" s="3" t="str">
        <f>VLOOKUP(B49, dim_respondents!$A$2:$F$71,2,FALSE)</f>
        <v>Suhana Ramakrishnan</v>
      </c>
      <c r="H49" s="3" t="str">
        <f>VLOOKUP((B49),dim_respondents!$A$2:$G$71,3, FALSE)</f>
        <v>19-30</v>
      </c>
      <c r="I49" s="3" t="str">
        <f>VLOOKUP(B49,dim_respondents!$A$2:$G$71,4, FALSE)</f>
        <v>F</v>
      </c>
      <c r="J49" s="3" t="str">
        <f>VLOOKUP((B49),dim_respondents!$A$2:$G$71,6, FALSE)</f>
        <v>Ahmedabad</v>
      </c>
      <c r="K49" s="3" t="str">
        <f>VLOOKUP((B49),dim_respondents!$A$2:$G$71,7, FALSE)</f>
        <v>Tier 2</v>
      </c>
    </row>
    <row r="50" spans="1:11">
      <c r="A50">
        <v>103049</v>
      </c>
      <c r="B50">
        <v>120079</v>
      </c>
      <c r="C50" t="s">
        <v>7</v>
      </c>
      <c r="D50" s="1">
        <v>4</v>
      </c>
      <c r="E50" s="2" t="s">
        <v>5</v>
      </c>
      <c r="F50" t="s">
        <v>6</v>
      </c>
      <c r="G50" s="3" t="str">
        <f>VLOOKUP(B50, dim_respondents!$A$2:$F$71,2,FALSE)</f>
        <v>Heer Suri</v>
      </c>
      <c r="H50" s="3" t="str">
        <f>VLOOKUP((B50),dim_respondents!$A$2:$G$71,3, FALSE)</f>
        <v>31-45</v>
      </c>
      <c r="I50" s="3" t="str">
        <f>VLOOKUP(B50,dim_respondents!$A$2:$G$71,4, FALSE)</f>
        <v>F</v>
      </c>
      <c r="J50" s="3" t="str">
        <f>VLOOKUP((B50),dim_respondents!$A$2:$G$71,6, FALSE)</f>
        <v>Bangalore</v>
      </c>
      <c r="K50" s="3" t="str">
        <f>VLOOKUP((B50),dim_respondents!$A$2:$G$71,7, FALSE)</f>
        <v>Tier 1</v>
      </c>
    </row>
    <row r="51" spans="1:11">
      <c r="A51">
        <v>103050</v>
      </c>
      <c r="B51">
        <v>120080</v>
      </c>
      <c r="C51" t="s">
        <v>7</v>
      </c>
      <c r="D51" s="1">
        <v>5</v>
      </c>
      <c r="E51" s="2" t="s">
        <v>5</v>
      </c>
      <c r="F51" t="s">
        <v>12</v>
      </c>
      <c r="G51" s="3" t="str">
        <f>VLOOKUP(B51, dim_respondents!$A$2:$F$71,2,FALSE)</f>
        <v>Sana Mand</v>
      </c>
      <c r="H51" s="3" t="str">
        <f>VLOOKUP((B51),dim_respondents!$A$2:$G$71,3, FALSE)</f>
        <v>19-30</v>
      </c>
      <c r="I51" s="3" t="str">
        <f>VLOOKUP(B51,dim_respondents!$A$2:$G$71,4, FALSE)</f>
        <v>M</v>
      </c>
      <c r="J51" s="3" t="str">
        <f>VLOOKUP((B51),dim_respondents!$A$2:$G$71,6, FALSE)</f>
        <v>Bangalore</v>
      </c>
      <c r="K51" s="3" t="str">
        <f>VLOOKUP((B51),dim_respondents!$A$2:$G$71,7, FALSE)</f>
        <v>Tier 1</v>
      </c>
    </row>
    <row r="52" spans="1:11">
      <c r="A52">
        <v>103051</v>
      </c>
      <c r="B52">
        <v>120081</v>
      </c>
      <c r="C52" t="s">
        <v>15</v>
      </c>
      <c r="D52" s="1">
        <v>3</v>
      </c>
      <c r="E52" s="2" t="s">
        <v>9</v>
      </c>
      <c r="F52" t="s">
        <v>10</v>
      </c>
      <c r="G52" s="3" t="str">
        <f>VLOOKUP(B52, dim_respondents!$A$2:$F$71,2,FALSE)</f>
        <v>Ishaan Sengupta</v>
      </c>
      <c r="H52" s="3" t="str">
        <f>VLOOKUP((B52),dim_respondents!$A$2:$G$71,3, FALSE)</f>
        <v>19-30</v>
      </c>
      <c r="I52" s="3" t="str">
        <f>VLOOKUP(B52,dim_respondents!$A$2:$G$71,4, FALSE)</f>
        <v>F</v>
      </c>
      <c r="J52" s="3" t="str">
        <f>VLOOKUP((B52),dim_respondents!$A$2:$G$71,6, FALSE)</f>
        <v>Lucknow</v>
      </c>
      <c r="K52" s="3" t="str">
        <f>VLOOKUP((B52),dim_respondents!$A$2:$G$71,7, FALSE)</f>
        <v>Tier 2</v>
      </c>
    </row>
    <row r="53" spans="1:11">
      <c r="A53">
        <v>103052</v>
      </c>
      <c r="B53">
        <v>120082</v>
      </c>
      <c r="C53" t="s">
        <v>7</v>
      </c>
      <c r="D53" s="1">
        <v>3</v>
      </c>
      <c r="E53" s="2" t="s">
        <v>8</v>
      </c>
      <c r="F53" t="s">
        <v>6</v>
      </c>
      <c r="G53" s="3" t="str">
        <f>VLOOKUP(B53, dim_respondents!$A$2:$F$71,2,FALSE)</f>
        <v>Abram Khatri</v>
      </c>
      <c r="H53" s="3" t="str">
        <f>VLOOKUP((B53),dim_respondents!$A$2:$G$71,3, FALSE)</f>
        <v>31-45</v>
      </c>
      <c r="I53" s="3" t="str">
        <f>VLOOKUP(B53,dim_respondents!$A$2:$G$71,4, FALSE)</f>
        <v>F</v>
      </c>
      <c r="J53" s="3" t="str">
        <f>VLOOKUP((B53),dim_respondents!$A$2:$G$71,6, FALSE)</f>
        <v>Bangalore</v>
      </c>
      <c r="K53" s="3" t="str">
        <f>VLOOKUP((B53),dim_respondents!$A$2:$G$71,7, FALSE)</f>
        <v>Tier 1</v>
      </c>
    </row>
    <row r="54" spans="1:11">
      <c r="A54">
        <v>103053</v>
      </c>
      <c r="B54">
        <v>120083</v>
      </c>
      <c r="C54" t="s">
        <v>11</v>
      </c>
      <c r="D54" s="1">
        <v>2</v>
      </c>
      <c r="E54" s="2" t="s">
        <v>8</v>
      </c>
      <c r="F54" t="s">
        <v>13</v>
      </c>
      <c r="G54" s="3" t="str">
        <f>VLOOKUP(B54, dim_respondents!$A$2:$F$71,2,FALSE)</f>
        <v>Anahita Sidhu</v>
      </c>
      <c r="H54" s="3" t="str">
        <f>VLOOKUP((B54),dim_respondents!$A$2:$G$71,3, FALSE)</f>
        <v>31-45</v>
      </c>
      <c r="I54" s="3" t="str">
        <f>VLOOKUP(B54,dim_respondents!$A$2:$G$71,4, FALSE)</f>
        <v>F</v>
      </c>
      <c r="J54" s="3" t="str">
        <f>VLOOKUP((B54),dim_respondents!$A$2:$G$71,6, FALSE)</f>
        <v>Bangalore</v>
      </c>
      <c r="K54" s="3" t="str">
        <f>VLOOKUP((B54),dim_respondents!$A$2:$G$71,7, FALSE)</f>
        <v>Tier 1</v>
      </c>
    </row>
    <row r="55" spans="1:11">
      <c r="A55">
        <v>103054</v>
      </c>
      <c r="B55">
        <v>120084</v>
      </c>
      <c r="C55" t="s">
        <v>7</v>
      </c>
      <c r="D55" s="1">
        <v>2</v>
      </c>
      <c r="E55" s="2" t="s">
        <v>5</v>
      </c>
      <c r="F55" t="s">
        <v>10</v>
      </c>
      <c r="G55" s="3" t="str">
        <f>VLOOKUP(B55, dim_respondents!$A$2:$F$71,2,FALSE)</f>
        <v>Myra Ganesan</v>
      </c>
      <c r="H55" s="3" t="str">
        <f>VLOOKUP((B55),dim_respondents!$A$2:$G$71,3, FALSE)</f>
        <v>15-18</v>
      </c>
      <c r="I55" s="3" t="str">
        <f>VLOOKUP(B55,dim_respondents!$A$2:$G$71,4, FALSE)</f>
        <v>M</v>
      </c>
      <c r="J55" s="3" t="str">
        <f>VLOOKUP((B55),dim_respondents!$A$2:$G$71,6, FALSE)</f>
        <v>Mumbai</v>
      </c>
      <c r="K55" s="3" t="str">
        <f>VLOOKUP((B55),dim_respondents!$A$2:$G$71,7, FALSE)</f>
        <v>Tier 1</v>
      </c>
    </row>
    <row r="56" spans="1:11">
      <c r="A56">
        <v>103055</v>
      </c>
      <c r="B56">
        <v>120085</v>
      </c>
      <c r="C56" t="s">
        <v>15</v>
      </c>
      <c r="D56" s="1">
        <v>5</v>
      </c>
      <c r="E56" s="2" t="s">
        <v>9</v>
      </c>
      <c r="F56" t="s">
        <v>6</v>
      </c>
      <c r="G56" s="3" t="str">
        <f>VLOOKUP(B56, dim_respondents!$A$2:$F$71,2,FALSE)</f>
        <v>Nirvaan Loyal</v>
      </c>
      <c r="H56" s="3" t="str">
        <f>VLOOKUP((B56),dim_respondents!$A$2:$G$71,3, FALSE)</f>
        <v>19-30</v>
      </c>
      <c r="I56" s="3" t="str">
        <f>VLOOKUP(B56,dim_respondents!$A$2:$G$71,4, FALSE)</f>
        <v>M</v>
      </c>
      <c r="J56" s="3" t="str">
        <f>VLOOKUP((B56),dim_respondents!$A$2:$G$71,6, FALSE)</f>
        <v>Mumbai</v>
      </c>
      <c r="K56" s="3" t="str">
        <f>VLOOKUP((B56),dim_respondents!$A$2:$G$71,7, FALSE)</f>
        <v>Tier 1</v>
      </c>
    </row>
    <row r="57" spans="1:11">
      <c r="A57">
        <v>103056</v>
      </c>
      <c r="B57">
        <v>120086</v>
      </c>
      <c r="C57" t="s">
        <v>11</v>
      </c>
      <c r="D57" s="1">
        <v>1</v>
      </c>
      <c r="E57" s="2" t="s">
        <v>5</v>
      </c>
      <c r="F57" t="s">
        <v>6</v>
      </c>
      <c r="G57" s="3" t="str">
        <f>VLOOKUP(B57, dim_respondents!$A$2:$F$71,2,FALSE)</f>
        <v>Veer Brahmbhatt</v>
      </c>
      <c r="H57" s="3" t="str">
        <f>VLOOKUP((B57),dim_respondents!$A$2:$G$71,3, FALSE)</f>
        <v>31-45</v>
      </c>
      <c r="I57" s="3" t="str">
        <f>VLOOKUP(B57,dim_respondents!$A$2:$G$71,4, FALSE)</f>
        <v>M</v>
      </c>
      <c r="J57" s="3" t="str">
        <f>VLOOKUP((B57),dim_respondents!$A$2:$G$71,6, FALSE)</f>
        <v>Jaipur</v>
      </c>
      <c r="K57" s="3" t="str">
        <f>VLOOKUP((B57),dim_respondents!$A$2:$G$71,7, FALSE)</f>
        <v>Tier 2</v>
      </c>
    </row>
    <row r="58" spans="1:11">
      <c r="A58">
        <v>103057</v>
      </c>
      <c r="B58">
        <v>120087</v>
      </c>
      <c r="C58" t="s">
        <v>7</v>
      </c>
      <c r="D58" s="1">
        <v>1</v>
      </c>
      <c r="E58" s="2" t="s">
        <v>5</v>
      </c>
      <c r="F58" t="s">
        <v>12</v>
      </c>
      <c r="G58" s="3" t="str">
        <f>VLOOKUP(B58, dim_respondents!$A$2:$F$71,2,FALSE)</f>
        <v>Kaira Bhardwaj</v>
      </c>
      <c r="H58" s="3" t="str">
        <f>VLOOKUP((B58),dim_respondents!$A$2:$G$71,3, FALSE)</f>
        <v>15-18</v>
      </c>
      <c r="I58" s="3" t="str">
        <f>VLOOKUP(B58,dim_respondents!$A$2:$G$71,4, FALSE)</f>
        <v>F</v>
      </c>
      <c r="J58" s="3" t="str">
        <f>VLOOKUP((B58),dim_respondents!$A$2:$G$71,6, FALSE)</f>
        <v>Bangalore</v>
      </c>
      <c r="K58" s="3" t="str">
        <f>VLOOKUP((B58),dim_respondents!$A$2:$G$71,7, FALSE)</f>
        <v>Tier 1</v>
      </c>
    </row>
    <row r="59" spans="1:11">
      <c r="A59">
        <v>103058</v>
      </c>
      <c r="B59">
        <v>120088</v>
      </c>
      <c r="C59" t="s">
        <v>11</v>
      </c>
      <c r="D59" s="1">
        <v>3</v>
      </c>
      <c r="E59" s="2" t="s">
        <v>8</v>
      </c>
      <c r="F59" t="s">
        <v>6</v>
      </c>
      <c r="G59" s="3" t="str">
        <f>VLOOKUP(B59, dim_respondents!$A$2:$F$71,2,FALSE)</f>
        <v>Heer Ganesan</v>
      </c>
      <c r="H59" s="3" t="str">
        <f>VLOOKUP((B59),dim_respondents!$A$2:$G$71,3, FALSE)</f>
        <v>31-45</v>
      </c>
      <c r="I59" s="3" t="str">
        <f>VLOOKUP(B59,dim_respondents!$A$2:$G$71,4, FALSE)</f>
        <v>M</v>
      </c>
      <c r="J59" s="3" t="str">
        <f>VLOOKUP((B59),dim_respondents!$A$2:$G$71,6, FALSE)</f>
        <v>Hyderabad</v>
      </c>
      <c r="K59" s="3" t="str">
        <f>VLOOKUP((B59),dim_respondents!$A$2:$G$71,7, FALSE)</f>
        <v>Tier 1</v>
      </c>
    </row>
    <row r="60" spans="1:11">
      <c r="A60">
        <v>103059</v>
      </c>
      <c r="B60">
        <v>120089</v>
      </c>
      <c r="C60" t="s">
        <v>7</v>
      </c>
      <c r="D60" s="1">
        <v>4</v>
      </c>
      <c r="E60" s="2" t="s">
        <v>5</v>
      </c>
      <c r="F60" t="s">
        <v>6</v>
      </c>
      <c r="G60" s="3" t="str">
        <f>VLOOKUP(B60, dim_respondents!$A$2:$F$71,2,FALSE)</f>
        <v>Lakshit Bassi</v>
      </c>
      <c r="H60" s="3" t="str">
        <f>VLOOKUP((B60),dim_respondents!$A$2:$G$71,3, FALSE)</f>
        <v>15-18</v>
      </c>
      <c r="I60" s="3" t="str">
        <f>VLOOKUP(B60,dim_respondents!$A$2:$G$71,4, FALSE)</f>
        <v>M</v>
      </c>
      <c r="J60" s="3" t="str">
        <f>VLOOKUP((B60),dim_respondents!$A$2:$G$71,6, FALSE)</f>
        <v>Hyderabad</v>
      </c>
      <c r="K60" s="3" t="str">
        <f>VLOOKUP((B60),dim_respondents!$A$2:$G$71,7, FALSE)</f>
        <v>Tier 1</v>
      </c>
    </row>
    <row r="61" spans="1:11">
      <c r="A61">
        <v>103060</v>
      </c>
      <c r="B61">
        <v>120090</v>
      </c>
      <c r="C61" t="s">
        <v>11</v>
      </c>
      <c r="D61" s="1">
        <v>4</v>
      </c>
      <c r="E61" s="2" t="s">
        <v>5</v>
      </c>
      <c r="F61" t="s">
        <v>6</v>
      </c>
      <c r="G61" s="3" t="str">
        <f>VLOOKUP(B61, dim_respondents!$A$2:$F$71,2,FALSE)</f>
        <v>Rasha Bhavsar</v>
      </c>
      <c r="H61" s="3" t="str">
        <f>VLOOKUP((B61),dim_respondents!$A$2:$G$71,3, FALSE)</f>
        <v>19-30</v>
      </c>
      <c r="I61" s="3" t="str">
        <f>VLOOKUP(B61,dim_respondents!$A$2:$G$71,4, FALSE)</f>
        <v>M</v>
      </c>
      <c r="J61" s="3" t="str">
        <f>VLOOKUP((B61),dim_respondents!$A$2:$G$71,6, FALSE)</f>
        <v>Bangalore</v>
      </c>
      <c r="K61" s="3" t="str">
        <f>VLOOKUP((B61),dim_respondents!$A$2:$G$71,7, FALSE)</f>
        <v>Tier 1</v>
      </c>
    </row>
    <row r="62" spans="1:11">
      <c r="A62">
        <v>103061</v>
      </c>
      <c r="B62">
        <v>120091</v>
      </c>
      <c r="C62" t="s">
        <v>18</v>
      </c>
      <c r="D62" s="1">
        <v>4</v>
      </c>
      <c r="E62" s="2" t="s">
        <v>8</v>
      </c>
      <c r="F62" t="s">
        <v>12</v>
      </c>
      <c r="G62" s="3" t="str">
        <f>VLOOKUP(B62, dim_respondents!$A$2:$F$71,2,FALSE)</f>
        <v>Advik Ratti</v>
      </c>
      <c r="H62" s="3" t="str">
        <f>VLOOKUP((B62),dim_respondents!$A$2:$G$71,3, FALSE)</f>
        <v>31-45</v>
      </c>
      <c r="I62" s="3" t="str">
        <f>VLOOKUP(B62,dim_respondents!$A$2:$G$71,4, FALSE)</f>
        <v>F</v>
      </c>
      <c r="J62" s="3" t="str">
        <f>VLOOKUP((B62),dim_respondents!$A$2:$G$71,6, FALSE)</f>
        <v>Hyderabad</v>
      </c>
      <c r="K62" s="3" t="str">
        <f>VLOOKUP((B62),dim_respondents!$A$2:$G$71,7, FALSE)</f>
        <v>Tier 1</v>
      </c>
    </row>
    <row r="63" spans="1:11">
      <c r="A63">
        <v>103062</v>
      </c>
      <c r="B63">
        <v>120092</v>
      </c>
      <c r="C63" t="s">
        <v>7</v>
      </c>
      <c r="D63" s="1">
        <v>4</v>
      </c>
      <c r="E63" s="2" t="s">
        <v>8</v>
      </c>
      <c r="F63" t="s">
        <v>6</v>
      </c>
      <c r="G63" s="3" t="str">
        <f>VLOOKUP(B63, dim_respondents!$A$2:$F$71,2,FALSE)</f>
        <v>Baiju Sane</v>
      </c>
      <c r="H63" s="3" t="str">
        <f>VLOOKUP((B63),dim_respondents!$A$2:$G$71,3, FALSE)</f>
        <v>19-30</v>
      </c>
      <c r="I63" s="3" t="str">
        <f>VLOOKUP(B63,dim_respondents!$A$2:$G$71,4, FALSE)</f>
        <v>M</v>
      </c>
      <c r="J63" s="3" t="str">
        <f>VLOOKUP((B63),dim_respondents!$A$2:$G$71,6, FALSE)</f>
        <v>Bangalore</v>
      </c>
      <c r="K63" s="3" t="str">
        <f>VLOOKUP((B63),dim_respondents!$A$2:$G$71,7, FALSE)</f>
        <v>Tier 1</v>
      </c>
    </row>
    <row r="64" spans="1:11">
      <c r="A64">
        <v>103063</v>
      </c>
      <c r="B64">
        <v>120093</v>
      </c>
      <c r="C64" t="s">
        <v>7</v>
      </c>
      <c r="D64" s="1">
        <v>4</v>
      </c>
      <c r="E64" s="2" t="s">
        <v>5</v>
      </c>
      <c r="F64" t="s">
        <v>6</v>
      </c>
      <c r="G64" s="3" t="str">
        <f>VLOOKUP(B64, dim_respondents!$A$2:$F$71,2,FALSE)</f>
        <v>Shayak Sane</v>
      </c>
      <c r="H64" s="3" t="str">
        <f>VLOOKUP((B64),dim_respondents!$A$2:$G$71,3, FALSE)</f>
        <v>31-45</v>
      </c>
      <c r="I64" s="3" t="str">
        <f>VLOOKUP(B64,dim_respondents!$A$2:$G$71,4, FALSE)</f>
        <v>F</v>
      </c>
      <c r="J64" s="3" t="str">
        <f>VLOOKUP((B64),dim_respondents!$A$2:$G$71,6, FALSE)</f>
        <v>Pune</v>
      </c>
      <c r="K64" s="3" t="str">
        <f>VLOOKUP((B64),dim_respondents!$A$2:$G$71,7, FALSE)</f>
        <v>Tier 2</v>
      </c>
    </row>
    <row r="65" spans="1:11">
      <c r="A65">
        <v>103064</v>
      </c>
      <c r="B65">
        <v>120094</v>
      </c>
      <c r="C65" t="s">
        <v>18</v>
      </c>
      <c r="D65" s="1">
        <v>2</v>
      </c>
      <c r="E65" s="2" t="s">
        <v>5</v>
      </c>
      <c r="F65" t="s">
        <v>12</v>
      </c>
      <c r="G65" s="3" t="str">
        <f>VLOOKUP(B65, dim_respondents!$A$2:$F$71,2,FALSE)</f>
        <v>Armaan Bassi</v>
      </c>
      <c r="H65" s="3" t="str">
        <f>VLOOKUP((B65),dim_respondents!$A$2:$G$71,3, FALSE)</f>
        <v>31-45</v>
      </c>
      <c r="I65" s="3" t="str">
        <f>VLOOKUP(B65,dim_respondents!$A$2:$G$71,4, FALSE)</f>
        <v>Non-binary</v>
      </c>
      <c r="J65" s="3" t="str">
        <f>VLOOKUP((B65),dim_respondents!$A$2:$G$71,6, FALSE)</f>
        <v>Delhi</v>
      </c>
      <c r="K65" s="3" t="str">
        <f>VLOOKUP((B65),dim_respondents!$A$2:$G$71,7, FALSE)</f>
        <v>Tier 1</v>
      </c>
    </row>
    <row r="66" spans="1:11">
      <c r="A66">
        <v>103065</v>
      </c>
      <c r="B66">
        <v>120095</v>
      </c>
      <c r="C66" t="s">
        <v>11</v>
      </c>
      <c r="D66" s="1">
        <v>4</v>
      </c>
      <c r="E66" s="2" t="s">
        <v>5</v>
      </c>
      <c r="F66" t="s">
        <v>6</v>
      </c>
      <c r="G66" s="3" t="str">
        <f>VLOOKUP(B66, dim_respondents!$A$2:$F$71,2,FALSE)</f>
        <v>Darshit Sami</v>
      </c>
      <c r="H66" s="3" t="str">
        <f>VLOOKUP((B66),dim_respondents!$A$2:$G$71,3, FALSE)</f>
        <v>19-30</v>
      </c>
      <c r="I66" s="3" t="str">
        <f>VLOOKUP(B66,dim_respondents!$A$2:$G$71,4, FALSE)</f>
        <v>M</v>
      </c>
      <c r="J66" s="3" t="str">
        <f>VLOOKUP((B66),dim_respondents!$A$2:$G$71,6, FALSE)</f>
        <v>Bangalore</v>
      </c>
      <c r="K66" s="3" t="str">
        <f>VLOOKUP((B66),dim_respondents!$A$2:$G$71,7, FALSE)</f>
        <v>Tier 1</v>
      </c>
    </row>
    <row r="67" spans="1:11">
      <c r="A67">
        <v>103066</v>
      </c>
      <c r="B67">
        <v>120096</v>
      </c>
      <c r="C67" t="s">
        <v>11</v>
      </c>
      <c r="D67" s="1">
        <v>3</v>
      </c>
      <c r="E67" s="2" t="s">
        <v>5</v>
      </c>
      <c r="F67" t="s">
        <v>12</v>
      </c>
      <c r="G67" s="3" t="str">
        <f>VLOOKUP(B67, dim_respondents!$A$2:$F$71,2,FALSE)</f>
        <v>Advika Borah</v>
      </c>
      <c r="H67" s="3" t="str">
        <f>VLOOKUP((B67),dim_respondents!$A$2:$G$71,3, FALSE)</f>
        <v>19-30</v>
      </c>
      <c r="I67" s="3" t="str">
        <f>VLOOKUP(B67,dim_respondents!$A$2:$G$71,4, FALSE)</f>
        <v>M</v>
      </c>
      <c r="J67" s="3" t="str">
        <f>VLOOKUP((B67),dim_respondents!$A$2:$G$71,6, FALSE)</f>
        <v>Bangalore</v>
      </c>
      <c r="K67" s="3" t="str">
        <f>VLOOKUP((B67),dim_respondents!$A$2:$G$71,7, FALSE)</f>
        <v>Tier 1</v>
      </c>
    </row>
    <row r="68" spans="1:11">
      <c r="A68">
        <v>103067</v>
      </c>
      <c r="B68">
        <v>120097</v>
      </c>
      <c r="C68" t="s">
        <v>14</v>
      </c>
      <c r="D68" s="1">
        <v>2</v>
      </c>
      <c r="E68" s="2" t="s">
        <v>17</v>
      </c>
      <c r="F68" t="s">
        <v>10</v>
      </c>
      <c r="G68" s="3" t="str">
        <f>VLOOKUP(B68, dim_respondents!$A$2:$F$71,2,FALSE)</f>
        <v>Sumer Sandal</v>
      </c>
      <c r="H68" s="3" t="str">
        <f>VLOOKUP((B68),dim_respondents!$A$2:$G$71,3, FALSE)</f>
        <v>15-18</v>
      </c>
      <c r="I68" s="3" t="str">
        <f>VLOOKUP(B68,dim_respondents!$A$2:$G$71,4, FALSE)</f>
        <v>F</v>
      </c>
      <c r="J68" s="3" t="str">
        <f>VLOOKUP((B68),dim_respondents!$A$2:$G$71,6, FALSE)</f>
        <v>Mumbai</v>
      </c>
      <c r="K68" s="3" t="str">
        <f>VLOOKUP((B68),dim_respondents!$A$2:$G$71,7, FALSE)</f>
        <v>Tier 1</v>
      </c>
    </row>
    <row r="69" spans="1:11">
      <c r="A69">
        <v>103068</v>
      </c>
      <c r="B69">
        <v>120098</v>
      </c>
      <c r="C69" t="s">
        <v>18</v>
      </c>
      <c r="D69" s="1">
        <v>4</v>
      </c>
      <c r="E69" s="2" t="s">
        <v>8</v>
      </c>
      <c r="F69" t="s">
        <v>13</v>
      </c>
      <c r="G69" s="3" t="str">
        <f>VLOOKUP(B69, dim_respondents!$A$2:$F$71,2,FALSE)</f>
        <v>Saira Sridhar</v>
      </c>
      <c r="H69" s="3" t="str">
        <f>VLOOKUP((B69),dim_respondents!$A$2:$G$71,3, FALSE)</f>
        <v>19-30</v>
      </c>
      <c r="I69" s="3" t="str">
        <f>VLOOKUP(B69,dim_respondents!$A$2:$G$71,4, FALSE)</f>
        <v>M</v>
      </c>
      <c r="J69" s="3" t="str">
        <f>VLOOKUP((B69),dim_respondents!$A$2:$G$71,6, FALSE)</f>
        <v>Ahmedabad</v>
      </c>
      <c r="K69" s="3" t="str">
        <f>VLOOKUP((B69),dim_respondents!$A$2:$G$71,7, FALSE)</f>
        <v>Tier 2</v>
      </c>
    </row>
    <row r="70" spans="1:11">
      <c r="A70">
        <v>103069</v>
      </c>
      <c r="B70">
        <v>120099</v>
      </c>
      <c r="C70" t="s">
        <v>18</v>
      </c>
      <c r="D70" s="1">
        <v>4</v>
      </c>
      <c r="E70" s="2" t="s">
        <v>17</v>
      </c>
      <c r="F70" t="s">
        <v>6</v>
      </c>
      <c r="G70" s="3" t="str">
        <f>VLOOKUP(B70, dim_respondents!$A$2:$F$71,2,FALSE)</f>
        <v>Ivana Bhatti</v>
      </c>
      <c r="H70" s="3" t="str">
        <f>VLOOKUP((B70),dim_respondents!$A$2:$G$71,3, FALSE)</f>
        <v>15-18</v>
      </c>
      <c r="I70" s="3" t="str">
        <f>VLOOKUP(B70,dim_respondents!$A$2:$G$71,4, FALSE)</f>
        <v>Non-binary</v>
      </c>
      <c r="J70" s="3" t="str">
        <f>VLOOKUP((B70),dim_respondents!$A$2:$G$71,6, FALSE)</f>
        <v>Pune</v>
      </c>
      <c r="K70" s="3" t="str">
        <f>VLOOKUP((B70),dim_respondents!$A$2:$G$71,7, FALSE)</f>
        <v>Tier 2</v>
      </c>
    </row>
    <row r="71" spans="1:11">
      <c r="A71">
        <v>103070</v>
      </c>
      <c r="B71">
        <v>120100</v>
      </c>
      <c r="C71" t="s">
        <v>14</v>
      </c>
      <c r="D71" s="1">
        <v>2</v>
      </c>
      <c r="E71" s="2" t="s">
        <v>5</v>
      </c>
      <c r="F71" t="s">
        <v>12</v>
      </c>
      <c r="G71" s="3" t="str">
        <f>VLOOKUP(B71, dim_respondents!$A$2:$F$71,2,FALSE)</f>
        <v>Divyansh Bhatt</v>
      </c>
      <c r="H71" s="3" t="str">
        <f>VLOOKUP((B71),dim_respondents!$A$2:$G$71,3, FALSE)</f>
        <v>19-30</v>
      </c>
      <c r="I71" s="3" t="str">
        <f>VLOOKUP(B71,dim_respondents!$A$2:$G$71,4, FALSE)</f>
        <v>M</v>
      </c>
      <c r="J71" s="3" t="str">
        <f>VLOOKUP((B71),dim_respondents!$A$2:$G$71,6, FALSE)</f>
        <v>Chennai</v>
      </c>
      <c r="K71" s="3" t="str">
        <f>VLOOKUP((B71),dim_respondents!$A$2:$G$71,7, FALSE)</f>
        <v>Tier 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2"/>
  <dimension ref="A1:G71"/>
  <sheetViews>
    <sheetView workbookViewId="0">
      <selection sqref="A1:A1048576"/>
    </sheetView>
  </sheetViews>
  <sheetFormatPr defaultRowHeight="15"/>
  <cols>
    <col min="1" max="1" width="16.7109375" customWidth="1"/>
    <col min="2" max="2" width="17.42578125" customWidth="1"/>
    <col min="3" max="3" width="9.140625" style="2"/>
    <col min="4" max="4" width="14.140625" customWidth="1"/>
    <col min="5" max="5" width="9.42578125" customWidth="1"/>
    <col min="6" max="6" width="11.28515625" customWidth="1"/>
  </cols>
  <sheetData>
    <row r="1" spans="1:7">
      <c r="A1" t="s">
        <v>1</v>
      </c>
      <c r="B1" t="s">
        <v>19</v>
      </c>
      <c r="C1" s="2" t="s">
        <v>20</v>
      </c>
      <c r="D1" t="s">
        <v>21</v>
      </c>
      <c r="E1" t="s">
        <v>22</v>
      </c>
      <c r="F1" t="s">
        <v>135</v>
      </c>
      <c r="G1" t="s">
        <v>63</v>
      </c>
    </row>
    <row r="2" spans="1:7">
      <c r="A2">
        <v>120031</v>
      </c>
      <c r="B2" t="s">
        <v>23</v>
      </c>
      <c r="C2" s="2" t="s">
        <v>24</v>
      </c>
      <c r="D2" t="s">
        <v>25</v>
      </c>
      <c r="E2" t="s">
        <v>26</v>
      </c>
      <c r="F2" s="3" t="str">
        <f>VLOOKUP(TRIM(E2), dim_cities!$A$2:$C$11, 2, FALSE)</f>
        <v>Ahmedabad</v>
      </c>
      <c r="G2" s="3" t="str">
        <f>VLOOKUP(TRIM(E2),dim_cities!$A$2:$C$11,3,FALSE)</f>
        <v>Tier 2</v>
      </c>
    </row>
    <row r="3" spans="1:7">
      <c r="A3">
        <v>120032</v>
      </c>
      <c r="B3" t="s">
        <v>77</v>
      </c>
      <c r="C3" s="2" t="s">
        <v>27</v>
      </c>
      <c r="D3" t="s">
        <v>29</v>
      </c>
      <c r="E3" t="s">
        <v>28</v>
      </c>
      <c r="F3" s="3" t="str">
        <f>VLOOKUP(TRIM(E3), dim_cities!$A$2:$C$11, 2, FALSE)</f>
        <v>Pune</v>
      </c>
      <c r="G3" s="3" t="str">
        <f>VLOOKUP(TRIM(E3),dim_cities!$A$2:$C$11,3,FALSE)</f>
        <v>Tier 2</v>
      </c>
    </row>
    <row r="4" spans="1:7">
      <c r="A4">
        <v>120033</v>
      </c>
      <c r="B4" t="s">
        <v>78</v>
      </c>
      <c r="C4" s="2" t="s">
        <v>24</v>
      </c>
      <c r="D4" t="s">
        <v>29</v>
      </c>
      <c r="E4" t="s">
        <v>30</v>
      </c>
      <c r="F4" s="3" t="str">
        <f>VLOOKUP(TRIM(E4), dim_cities!$A$2:$C$11, 2, FALSE)</f>
        <v>Hyderabad</v>
      </c>
      <c r="G4" s="3" t="str">
        <f>VLOOKUP(TRIM(E4),dim_cities!$A$2:$C$11,3,FALSE)</f>
        <v>Tier 1</v>
      </c>
    </row>
    <row r="5" spans="1:7">
      <c r="A5">
        <v>120034</v>
      </c>
      <c r="B5" t="s">
        <v>79</v>
      </c>
      <c r="C5" s="2" t="s">
        <v>31</v>
      </c>
      <c r="D5" t="s">
        <v>25</v>
      </c>
      <c r="E5" t="s">
        <v>32</v>
      </c>
      <c r="F5" s="3" t="str">
        <f>VLOOKUP(TRIM(E5), dim_cities!$A$2:$C$11, 2, FALSE)</f>
        <v>Bangalore</v>
      </c>
      <c r="G5" s="3" t="str">
        <f>VLOOKUP(TRIM(E5),dim_cities!$A$2:$C$11,3,FALSE)</f>
        <v>Tier 1</v>
      </c>
    </row>
    <row r="6" spans="1:7">
      <c r="A6">
        <v>120035</v>
      </c>
      <c r="B6" t="s">
        <v>80</v>
      </c>
      <c r="C6" s="2" t="s">
        <v>27</v>
      </c>
      <c r="D6" t="s">
        <v>25</v>
      </c>
      <c r="E6" t="s">
        <v>33</v>
      </c>
      <c r="F6" s="3" t="str">
        <f>VLOOKUP(TRIM(E6), dim_cities!$A$2:$C$11, 2, FALSE)</f>
        <v>Lucknow</v>
      </c>
      <c r="G6" s="3" t="str">
        <f>VLOOKUP(TRIM(E6),dim_cities!$A$2:$C$11,3,FALSE)</f>
        <v>Tier 2</v>
      </c>
    </row>
    <row r="7" spans="1:7">
      <c r="A7">
        <v>120036</v>
      </c>
      <c r="B7" t="s">
        <v>81</v>
      </c>
      <c r="C7" s="2" t="s">
        <v>27</v>
      </c>
      <c r="D7" t="s">
        <v>25</v>
      </c>
      <c r="E7" t="s">
        <v>34</v>
      </c>
      <c r="F7" s="3" t="str">
        <f>VLOOKUP(TRIM(E7), dim_cities!$A$2:$C$11, 2, FALSE)</f>
        <v>Pune</v>
      </c>
      <c r="G7" s="3" t="str">
        <f>VLOOKUP(TRIM(E7),dim_cities!$A$2:$C$11,3,FALSE)</f>
        <v>Tier 2</v>
      </c>
    </row>
    <row r="8" spans="1:7">
      <c r="A8">
        <v>120037</v>
      </c>
      <c r="B8" t="s">
        <v>82</v>
      </c>
      <c r="C8" s="2" t="s">
        <v>27</v>
      </c>
      <c r="D8" t="s">
        <v>29</v>
      </c>
      <c r="E8" t="s">
        <v>35</v>
      </c>
      <c r="F8" s="3" t="str">
        <f>VLOOKUP(TRIM(E8), dim_cities!$A$2:$C$11, 2, FALSE)</f>
        <v>Mumbai</v>
      </c>
      <c r="G8" s="3" t="str">
        <f>VLOOKUP(TRIM(E8),dim_cities!$A$2:$C$11,3,FALSE)</f>
        <v>Tier 1</v>
      </c>
    </row>
    <row r="9" spans="1:7">
      <c r="A9">
        <v>120038</v>
      </c>
      <c r="B9" t="s">
        <v>83</v>
      </c>
      <c r="C9" s="2" t="s">
        <v>27</v>
      </c>
      <c r="D9" t="s">
        <v>29</v>
      </c>
      <c r="E9" t="s">
        <v>36</v>
      </c>
      <c r="F9" s="3" t="str">
        <f>VLOOKUP(TRIM(E9), dim_cities!$A$2:$C$11, 2, FALSE)</f>
        <v>Hyderabad</v>
      </c>
      <c r="G9" s="3" t="str">
        <f>VLOOKUP(TRIM(E9),dim_cities!$A$2:$C$11,3,FALSE)</f>
        <v>Tier 1</v>
      </c>
    </row>
    <row r="10" spans="1:7">
      <c r="A10">
        <v>120039</v>
      </c>
      <c r="B10" t="s">
        <v>37</v>
      </c>
      <c r="C10" s="2" t="s">
        <v>38</v>
      </c>
      <c r="D10" t="s">
        <v>29</v>
      </c>
      <c r="E10" t="s">
        <v>36</v>
      </c>
      <c r="F10" s="3" t="str">
        <f>VLOOKUP(TRIM(E10), dim_cities!$A$2:$C$11, 2, FALSE)</f>
        <v>Hyderabad</v>
      </c>
      <c r="G10" s="3" t="str">
        <f>VLOOKUP(TRIM(E10),dim_cities!$A$2:$C$11,3,FALSE)</f>
        <v>Tier 1</v>
      </c>
    </row>
    <row r="11" spans="1:7">
      <c r="A11">
        <v>120040</v>
      </c>
      <c r="B11" t="s">
        <v>84</v>
      </c>
      <c r="C11" s="2" t="s">
        <v>27</v>
      </c>
      <c r="D11" t="s">
        <v>25</v>
      </c>
      <c r="E11" t="s">
        <v>30</v>
      </c>
      <c r="F11" s="3" t="str">
        <f>VLOOKUP(TRIM(E11), dim_cities!$A$2:$C$11, 2, FALSE)</f>
        <v>Hyderabad</v>
      </c>
      <c r="G11" s="3" t="str">
        <f>VLOOKUP(TRIM(E11),dim_cities!$A$2:$C$11,3,FALSE)</f>
        <v>Tier 1</v>
      </c>
    </row>
    <row r="12" spans="1:7">
      <c r="A12">
        <v>120041</v>
      </c>
      <c r="B12" t="s">
        <v>85</v>
      </c>
      <c r="C12" s="2" t="s">
        <v>27</v>
      </c>
      <c r="D12" t="s">
        <v>25</v>
      </c>
      <c r="E12" t="s">
        <v>32</v>
      </c>
      <c r="F12" s="3" t="str">
        <f>VLOOKUP(TRIM(E12), dim_cities!$A$2:$C$11, 2, FALSE)</f>
        <v>Bangalore</v>
      </c>
      <c r="G12" s="3" t="str">
        <f>VLOOKUP(TRIM(E12),dim_cities!$A$2:$C$11,3,FALSE)</f>
        <v>Tier 1</v>
      </c>
    </row>
    <row r="13" spans="1:7">
      <c r="A13">
        <v>120042</v>
      </c>
      <c r="B13" t="s">
        <v>86</v>
      </c>
      <c r="C13" s="2" t="s">
        <v>27</v>
      </c>
      <c r="D13" t="s">
        <v>25</v>
      </c>
      <c r="E13" t="s">
        <v>39</v>
      </c>
      <c r="F13" s="3" t="str">
        <f>VLOOKUP(TRIM(E13), dim_cities!$A$2:$C$11, 2, FALSE)</f>
        <v>Mumbai</v>
      </c>
      <c r="G13" s="3" t="str">
        <f>VLOOKUP(TRIM(E13),dim_cities!$A$2:$C$11,3,FALSE)</f>
        <v>Tier 1</v>
      </c>
    </row>
    <row r="14" spans="1:7">
      <c r="A14">
        <v>120043</v>
      </c>
      <c r="B14" t="s">
        <v>40</v>
      </c>
      <c r="C14" s="2" t="s">
        <v>27</v>
      </c>
      <c r="D14" t="s">
        <v>29</v>
      </c>
      <c r="E14" t="s">
        <v>32</v>
      </c>
      <c r="F14" s="3" t="str">
        <f>VLOOKUP(TRIM(E14), dim_cities!$A$2:$C$11, 2, FALSE)</f>
        <v>Bangalore</v>
      </c>
      <c r="G14" s="3" t="str">
        <f>VLOOKUP(TRIM(E14),dim_cities!$A$2:$C$11,3,FALSE)</f>
        <v>Tier 1</v>
      </c>
    </row>
    <row r="15" spans="1:7">
      <c r="A15">
        <v>120044</v>
      </c>
      <c r="B15" t="s">
        <v>41</v>
      </c>
      <c r="C15" s="2" t="s">
        <v>27</v>
      </c>
      <c r="D15" t="s">
        <v>29</v>
      </c>
      <c r="E15" t="s">
        <v>39</v>
      </c>
      <c r="F15" s="3" t="str">
        <f>VLOOKUP(TRIM(E15), dim_cities!$A$2:$C$11, 2, FALSE)</f>
        <v>Mumbai</v>
      </c>
      <c r="G15" s="3" t="str">
        <f>VLOOKUP(TRIM(E15),dim_cities!$A$2:$C$11,3,FALSE)</f>
        <v>Tier 1</v>
      </c>
    </row>
    <row r="16" spans="1:7">
      <c r="A16">
        <v>120045</v>
      </c>
      <c r="B16" t="s">
        <v>87</v>
      </c>
      <c r="C16" s="2" t="s">
        <v>42</v>
      </c>
      <c r="D16" t="s">
        <v>29</v>
      </c>
      <c r="E16" t="s">
        <v>32</v>
      </c>
      <c r="F16" s="3" t="str">
        <f>VLOOKUP(TRIM(E16), dim_cities!$A$2:$C$11, 2, FALSE)</f>
        <v>Bangalore</v>
      </c>
      <c r="G16" s="3" t="str">
        <f>VLOOKUP(TRIM(E16),dim_cities!$A$2:$C$11,3,FALSE)</f>
        <v>Tier 1</v>
      </c>
    </row>
    <row r="17" spans="1:7">
      <c r="A17">
        <v>120046</v>
      </c>
      <c r="B17" t="s">
        <v>88</v>
      </c>
      <c r="C17" s="2" t="s">
        <v>27</v>
      </c>
      <c r="D17" t="s">
        <v>29</v>
      </c>
      <c r="E17" t="s">
        <v>43</v>
      </c>
      <c r="F17" s="3" t="str">
        <f>VLOOKUP(TRIM(E17), dim_cities!$A$2:$C$11, 2, FALSE)</f>
        <v>Chennai</v>
      </c>
      <c r="G17" s="3" t="str">
        <f>VLOOKUP(TRIM(E17),dim_cities!$A$2:$C$11,3,FALSE)</f>
        <v>Tier 1</v>
      </c>
    </row>
    <row r="18" spans="1:7">
      <c r="A18">
        <v>120047</v>
      </c>
      <c r="B18" t="s">
        <v>89</v>
      </c>
      <c r="C18" s="2" t="s">
        <v>27</v>
      </c>
      <c r="D18" t="s">
        <v>29</v>
      </c>
      <c r="E18" t="s">
        <v>39</v>
      </c>
      <c r="F18" s="3" t="str">
        <f>VLOOKUP(TRIM(E18), dim_cities!$A$2:$C$11, 2, FALSE)</f>
        <v>Mumbai</v>
      </c>
      <c r="G18" s="3" t="str">
        <f>VLOOKUP(TRIM(E18),dim_cities!$A$2:$C$11,3,FALSE)</f>
        <v>Tier 1</v>
      </c>
    </row>
    <row r="19" spans="1:7">
      <c r="A19">
        <v>120048</v>
      </c>
      <c r="B19" t="s">
        <v>90</v>
      </c>
      <c r="C19" s="2" t="s">
        <v>27</v>
      </c>
      <c r="D19" t="s">
        <v>29</v>
      </c>
      <c r="E19" t="s">
        <v>30</v>
      </c>
      <c r="F19" s="3" t="str">
        <f>VLOOKUP(TRIM(E19), dim_cities!$A$2:$C$11, 2, FALSE)</f>
        <v>Hyderabad</v>
      </c>
      <c r="G19" s="3" t="str">
        <f>VLOOKUP(TRIM(E19),dim_cities!$A$2:$C$11,3,FALSE)</f>
        <v>Tier 1</v>
      </c>
    </row>
    <row r="20" spans="1:7">
      <c r="A20">
        <v>120049</v>
      </c>
      <c r="B20" t="s">
        <v>91</v>
      </c>
      <c r="C20" s="2" t="s">
        <v>27</v>
      </c>
      <c r="D20" t="s">
        <v>25</v>
      </c>
      <c r="E20" t="s">
        <v>32</v>
      </c>
      <c r="F20" s="3" t="str">
        <f>VLOOKUP(TRIM(E20), dim_cities!$A$2:$C$11, 2, FALSE)</f>
        <v>Bangalore</v>
      </c>
      <c r="G20" s="3" t="str">
        <f>VLOOKUP(TRIM(E20),dim_cities!$A$2:$C$11,3,FALSE)</f>
        <v>Tier 1</v>
      </c>
    </row>
    <row r="21" spans="1:7">
      <c r="A21">
        <v>120050</v>
      </c>
      <c r="B21" t="s">
        <v>44</v>
      </c>
      <c r="C21" s="2" t="s">
        <v>31</v>
      </c>
      <c r="D21" t="s">
        <v>25</v>
      </c>
      <c r="E21" t="s">
        <v>45</v>
      </c>
      <c r="F21" s="3" t="str">
        <f>VLOOKUP(TRIM(E21), dim_cities!$A$2:$C$11, 2, FALSE)</f>
        <v>Chennai</v>
      </c>
      <c r="G21" s="3" t="str">
        <f>VLOOKUP(TRIM(E21),dim_cities!$A$2:$C$11,3,FALSE)</f>
        <v>Tier 1</v>
      </c>
    </row>
    <row r="22" spans="1:7">
      <c r="A22">
        <v>120051</v>
      </c>
      <c r="B22" t="s">
        <v>92</v>
      </c>
      <c r="C22" s="2" t="s">
        <v>27</v>
      </c>
      <c r="D22" t="s">
        <v>29</v>
      </c>
      <c r="E22" t="s">
        <v>34</v>
      </c>
      <c r="F22" s="3" t="str">
        <f>VLOOKUP(TRIM(E22), dim_cities!$A$2:$C$11, 2, FALSE)</f>
        <v>Pune</v>
      </c>
      <c r="G22" s="3" t="str">
        <f>VLOOKUP(TRIM(E22),dim_cities!$A$2:$C$11,3,FALSE)</f>
        <v>Tier 2</v>
      </c>
    </row>
    <row r="23" spans="1:7">
      <c r="A23">
        <v>120052</v>
      </c>
      <c r="B23" t="s">
        <v>93</v>
      </c>
      <c r="C23" s="2" t="s">
        <v>31</v>
      </c>
      <c r="D23" t="s">
        <v>46</v>
      </c>
      <c r="E23" t="s">
        <v>39</v>
      </c>
      <c r="F23" s="3" t="str">
        <f>VLOOKUP(TRIM(E23), dim_cities!$A$2:$C$11, 2, FALSE)</f>
        <v>Mumbai</v>
      </c>
      <c r="G23" s="3" t="str">
        <f>VLOOKUP(TRIM(E23),dim_cities!$A$2:$C$11,3,FALSE)</f>
        <v>Tier 1</v>
      </c>
    </row>
    <row r="24" spans="1:7">
      <c r="A24">
        <v>120053</v>
      </c>
      <c r="B24" t="s">
        <v>94</v>
      </c>
      <c r="C24" s="2" t="s">
        <v>27</v>
      </c>
      <c r="D24" t="s">
        <v>29</v>
      </c>
      <c r="E24" t="s">
        <v>39</v>
      </c>
      <c r="F24" s="3" t="str">
        <f>VLOOKUP(TRIM(E24), dim_cities!$A$2:$C$11, 2, FALSE)</f>
        <v>Mumbai</v>
      </c>
      <c r="G24" s="3" t="str">
        <f>VLOOKUP(TRIM(E24),dim_cities!$A$2:$C$11,3,FALSE)</f>
        <v>Tier 1</v>
      </c>
    </row>
    <row r="25" spans="1:7">
      <c r="A25">
        <v>120054</v>
      </c>
      <c r="B25" t="s">
        <v>95</v>
      </c>
      <c r="C25" s="2" t="s">
        <v>27</v>
      </c>
      <c r="D25" t="s">
        <v>29</v>
      </c>
      <c r="E25" t="s">
        <v>43</v>
      </c>
      <c r="F25" s="3" t="str">
        <f>VLOOKUP(TRIM(E25), dim_cities!$A$2:$C$11, 2, FALSE)</f>
        <v>Chennai</v>
      </c>
      <c r="G25" s="3" t="str">
        <f>VLOOKUP(TRIM(E25),dim_cities!$A$2:$C$11,3,FALSE)</f>
        <v>Tier 1</v>
      </c>
    </row>
    <row r="26" spans="1:7">
      <c r="A26">
        <v>120055</v>
      </c>
      <c r="B26" t="s">
        <v>96</v>
      </c>
      <c r="C26" s="2" t="s">
        <v>31</v>
      </c>
      <c r="D26" t="s">
        <v>46</v>
      </c>
      <c r="E26" t="s">
        <v>47</v>
      </c>
      <c r="F26" s="3" t="str">
        <f>VLOOKUP(TRIM(E26), dim_cities!$A$2:$C$11, 2, FALSE)</f>
        <v>Ahmedabad</v>
      </c>
      <c r="G26" s="3" t="str">
        <f>VLOOKUP(TRIM(E26),dim_cities!$A$2:$C$11,3,FALSE)</f>
        <v>Tier 2</v>
      </c>
    </row>
    <row r="27" spans="1:7">
      <c r="A27">
        <v>120056</v>
      </c>
      <c r="B27" t="s">
        <v>97</v>
      </c>
      <c r="C27" s="2" t="s">
        <v>27</v>
      </c>
      <c r="D27" t="s">
        <v>29</v>
      </c>
      <c r="E27" t="s">
        <v>28</v>
      </c>
      <c r="F27" s="3" t="str">
        <f>VLOOKUP(TRIM(E27), dim_cities!$A$2:$C$11, 2, FALSE)</f>
        <v>Pune</v>
      </c>
      <c r="G27" s="3" t="str">
        <f>VLOOKUP(TRIM(E27),dim_cities!$A$2:$C$11,3,FALSE)</f>
        <v>Tier 2</v>
      </c>
    </row>
    <row r="28" spans="1:7">
      <c r="A28">
        <v>120057</v>
      </c>
      <c r="B28" t="s">
        <v>98</v>
      </c>
      <c r="C28" s="2" t="s">
        <v>27</v>
      </c>
      <c r="D28" t="s">
        <v>29</v>
      </c>
      <c r="E28" t="s">
        <v>26</v>
      </c>
      <c r="F28" s="3" t="str">
        <f>VLOOKUP(TRIM(E28), dim_cities!$A$2:$C$11, 2, FALSE)</f>
        <v>Ahmedabad</v>
      </c>
      <c r="G28" s="3" t="str">
        <f>VLOOKUP(TRIM(E28),dim_cities!$A$2:$C$11,3,FALSE)</f>
        <v>Tier 2</v>
      </c>
    </row>
    <row r="29" spans="1:7">
      <c r="A29">
        <v>120058</v>
      </c>
      <c r="B29" t="s">
        <v>48</v>
      </c>
      <c r="C29" s="2" t="s">
        <v>27</v>
      </c>
      <c r="D29" t="s">
        <v>25</v>
      </c>
      <c r="E29" t="s">
        <v>49</v>
      </c>
      <c r="F29" s="3" t="str">
        <f>VLOOKUP(TRIM(E29), dim_cities!$A$2:$C$11, 2, FALSE)</f>
        <v>Jaipur</v>
      </c>
      <c r="G29" s="3" t="str">
        <f>VLOOKUP(TRIM(E29),dim_cities!$A$2:$C$11,3,FALSE)</f>
        <v>Tier 2</v>
      </c>
    </row>
    <row r="30" spans="1:7">
      <c r="A30">
        <v>120059</v>
      </c>
      <c r="B30" t="s">
        <v>99</v>
      </c>
      <c r="C30" s="2" t="s">
        <v>27</v>
      </c>
      <c r="D30" t="s">
        <v>29</v>
      </c>
      <c r="E30" t="s">
        <v>32</v>
      </c>
      <c r="F30" s="3" t="str">
        <f>VLOOKUP(TRIM(E30), dim_cities!$A$2:$C$11, 2, FALSE)</f>
        <v>Bangalore</v>
      </c>
      <c r="G30" s="3" t="str">
        <f>VLOOKUP(TRIM(E30),dim_cities!$A$2:$C$11,3,FALSE)</f>
        <v>Tier 1</v>
      </c>
    </row>
    <row r="31" spans="1:7">
      <c r="A31">
        <v>120060</v>
      </c>
      <c r="B31" t="s">
        <v>100</v>
      </c>
      <c r="C31" s="2" t="s">
        <v>27</v>
      </c>
      <c r="D31" t="s">
        <v>29</v>
      </c>
      <c r="E31" t="s">
        <v>34</v>
      </c>
      <c r="F31" s="3" t="str">
        <f>VLOOKUP(TRIM(E31), dim_cities!$A$2:$C$11, 2, FALSE)</f>
        <v>Pune</v>
      </c>
      <c r="G31" s="3" t="str">
        <f>VLOOKUP(TRIM(E31),dim_cities!$A$2:$C$11,3,FALSE)</f>
        <v>Tier 2</v>
      </c>
    </row>
    <row r="32" spans="1:7">
      <c r="A32">
        <v>120061</v>
      </c>
      <c r="B32" t="s">
        <v>50</v>
      </c>
      <c r="C32" s="2" t="s">
        <v>27</v>
      </c>
      <c r="D32" t="s">
        <v>29</v>
      </c>
      <c r="E32" t="s">
        <v>30</v>
      </c>
      <c r="F32" s="3" t="str">
        <f>VLOOKUP(TRIM(E32), dim_cities!$A$2:$C$11, 2, FALSE)</f>
        <v>Hyderabad</v>
      </c>
      <c r="G32" s="3" t="str">
        <f>VLOOKUP(TRIM(E32),dim_cities!$A$2:$C$11,3,FALSE)</f>
        <v>Tier 1</v>
      </c>
    </row>
    <row r="33" spans="1:7">
      <c r="A33">
        <v>120062</v>
      </c>
      <c r="B33" t="s">
        <v>101</v>
      </c>
      <c r="C33" s="2" t="s">
        <v>27</v>
      </c>
      <c r="D33" t="s">
        <v>29</v>
      </c>
      <c r="E33" t="s">
        <v>36</v>
      </c>
      <c r="F33" s="3" t="str">
        <f>VLOOKUP(TRIM(E33), dim_cities!$A$2:$C$11, 2, FALSE)</f>
        <v>Hyderabad</v>
      </c>
      <c r="G33" s="3" t="str">
        <f>VLOOKUP(TRIM(E33),dim_cities!$A$2:$C$11,3,FALSE)</f>
        <v>Tier 1</v>
      </c>
    </row>
    <row r="34" spans="1:7">
      <c r="A34">
        <v>120063</v>
      </c>
      <c r="B34" t="s">
        <v>102</v>
      </c>
      <c r="C34" s="2" t="s">
        <v>27</v>
      </c>
      <c r="D34" t="s">
        <v>29</v>
      </c>
      <c r="E34" t="s">
        <v>45</v>
      </c>
      <c r="F34" s="3" t="str">
        <f>VLOOKUP(TRIM(E34), dim_cities!$A$2:$C$11, 2, FALSE)</f>
        <v>Chennai</v>
      </c>
      <c r="G34" s="3" t="str">
        <f>VLOOKUP(TRIM(E34),dim_cities!$A$2:$C$11,3,FALSE)</f>
        <v>Tier 1</v>
      </c>
    </row>
    <row r="35" spans="1:7">
      <c r="A35">
        <v>120064</v>
      </c>
      <c r="B35" t="s">
        <v>103</v>
      </c>
      <c r="C35" s="2" t="s">
        <v>24</v>
      </c>
      <c r="D35" t="s">
        <v>29</v>
      </c>
      <c r="E35" t="s">
        <v>28</v>
      </c>
      <c r="F35" s="3" t="str">
        <f>VLOOKUP(TRIM(E35), dim_cities!$A$2:$C$11, 2, FALSE)</f>
        <v>Pune</v>
      </c>
      <c r="G35" s="3" t="str">
        <f>VLOOKUP(TRIM(E35),dim_cities!$A$2:$C$11,3,FALSE)</f>
        <v>Tier 2</v>
      </c>
    </row>
    <row r="36" spans="1:7">
      <c r="A36">
        <v>120065</v>
      </c>
      <c r="B36" t="s">
        <v>104</v>
      </c>
      <c r="C36" s="2" t="s">
        <v>27</v>
      </c>
      <c r="D36" t="s">
        <v>29</v>
      </c>
      <c r="E36" t="s">
        <v>51</v>
      </c>
      <c r="F36" s="3" t="str">
        <f>VLOOKUP(TRIM(E36), dim_cities!$A$2:$C$11, 2, FALSE)</f>
        <v>Kolkata</v>
      </c>
      <c r="G36" s="3" t="str">
        <f>VLOOKUP(TRIM(E36),dim_cities!$A$2:$C$11,3,FALSE)</f>
        <v>Tier 2</v>
      </c>
    </row>
    <row r="37" spans="1:7">
      <c r="A37">
        <v>120066</v>
      </c>
      <c r="B37" t="s">
        <v>105</v>
      </c>
      <c r="C37" s="2" t="s">
        <v>27</v>
      </c>
      <c r="D37" t="s">
        <v>25</v>
      </c>
      <c r="E37" t="s">
        <v>36</v>
      </c>
      <c r="F37" s="3" t="str">
        <f>VLOOKUP(TRIM(E37), dim_cities!$A$2:$C$11, 2, FALSE)</f>
        <v>Hyderabad</v>
      </c>
      <c r="G37" s="3" t="str">
        <f>VLOOKUP(TRIM(E37),dim_cities!$A$2:$C$11,3,FALSE)</f>
        <v>Tier 1</v>
      </c>
    </row>
    <row r="38" spans="1:7">
      <c r="A38">
        <v>120067</v>
      </c>
      <c r="B38" t="s">
        <v>106</v>
      </c>
      <c r="C38" s="2" t="s">
        <v>42</v>
      </c>
      <c r="D38" t="s">
        <v>29</v>
      </c>
      <c r="E38" t="s">
        <v>28</v>
      </c>
      <c r="F38" s="3" t="str">
        <f>VLOOKUP(TRIM(E38), dim_cities!$A$2:$C$11, 2, FALSE)</f>
        <v>Pune</v>
      </c>
      <c r="G38" s="3" t="str">
        <f>VLOOKUP(TRIM(E38),dim_cities!$A$2:$C$11,3,FALSE)</f>
        <v>Tier 2</v>
      </c>
    </row>
    <row r="39" spans="1:7">
      <c r="A39">
        <v>120068</v>
      </c>
      <c r="B39" t="s">
        <v>107</v>
      </c>
      <c r="C39" s="2" t="s">
        <v>24</v>
      </c>
      <c r="D39" t="s">
        <v>25</v>
      </c>
      <c r="E39" t="s">
        <v>30</v>
      </c>
      <c r="F39" s="3" t="str">
        <f>VLOOKUP(TRIM(E39), dim_cities!$A$2:$C$11, 2, FALSE)</f>
        <v>Hyderabad</v>
      </c>
      <c r="G39" s="3" t="str">
        <f>VLOOKUP(TRIM(E39),dim_cities!$A$2:$C$11,3,FALSE)</f>
        <v>Tier 1</v>
      </c>
    </row>
    <row r="40" spans="1:7">
      <c r="A40">
        <v>120069</v>
      </c>
      <c r="B40" t="s">
        <v>52</v>
      </c>
      <c r="C40" s="2" t="s">
        <v>27</v>
      </c>
      <c r="D40" t="s">
        <v>25</v>
      </c>
      <c r="E40" t="s">
        <v>39</v>
      </c>
      <c r="F40" s="3" t="str">
        <f>VLOOKUP(TRIM(E40), dim_cities!$A$2:$C$11, 2, FALSE)</f>
        <v>Mumbai</v>
      </c>
      <c r="G40" s="3" t="str">
        <f>VLOOKUP(TRIM(E40),dim_cities!$A$2:$C$11,3,FALSE)</f>
        <v>Tier 1</v>
      </c>
    </row>
    <row r="41" spans="1:7">
      <c r="A41">
        <v>120070</v>
      </c>
      <c r="B41" t="s">
        <v>53</v>
      </c>
      <c r="C41" s="2" t="s">
        <v>31</v>
      </c>
      <c r="D41" t="s">
        <v>29</v>
      </c>
      <c r="E41" t="s">
        <v>30</v>
      </c>
      <c r="F41" s="3" t="str">
        <f>VLOOKUP(TRIM(E41), dim_cities!$A$2:$C$11, 2, FALSE)</f>
        <v>Hyderabad</v>
      </c>
      <c r="G41" s="3" t="str">
        <f>VLOOKUP(TRIM(E41),dim_cities!$A$2:$C$11,3,FALSE)</f>
        <v>Tier 1</v>
      </c>
    </row>
    <row r="42" spans="1:7">
      <c r="A42">
        <v>120071</v>
      </c>
      <c r="B42" t="s">
        <v>108</v>
      </c>
      <c r="C42" s="2" t="s">
        <v>24</v>
      </c>
      <c r="D42" t="s">
        <v>25</v>
      </c>
      <c r="E42" t="s">
        <v>32</v>
      </c>
      <c r="F42" s="3" t="str">
        <f>VLOOKUP(TRIM(E42), dim_cities!$A$2:$C$11, 2, FALSE)</f>
        <v>Bangalore</v>
      </c>
      <c r="G42" s="3" t="str">
        <f>VLOOKUP(TRIM(E42),dim_cities!$A$2:$C$11,3,FALSE)</f>
        <v>Tier 1</v>
      </c>
    </row>
    <row r="43" spans="1:7">
      <c r="A43">
        <v>120072</v>
      </c>
      <c r="B43" t="s">
        <v>109</v>
      </c>
      <c r="C43" s="2" t="s">
        <v>38</v>
      </c>
      <c r="D43" t="s">
        <v>46</v>
      </c>
      <c r="E43" t="s">
        <v>34</v>
      </c>
      <c r="F43" s="3" t="str">
        <f>VLOOKUP(TRIM(E43), dim_cities!$A$2:$C$11, 2, FALSE)</f>
        <v>Pune</v>
      </c>
      <c r="G43" s="3" t="str">
        <f>VLOOKUP(TRIM(E43),dim_cities!$A$2:$C$11,3,FALSE)</f>
        <v>Tier 2</v>
      </c>
    </row>
    <row r="44" spans="1:7">
      <c r="A44">
        <v>120073</v>
      </c>
      <c r="B44" t="s">
        <v>110</v>
      </c>
      <c r="C44" s="2" t="s">
        <v>27</v>
      </c>
      <c r="D44" t="s">
        <v>25</v>
      </c>
      <c r="E44" t="s">
        <v>36</v>
      </c>
      <c r="F44" s="3" t="str">
        <f>VLOOKUP(TRIM(E44), dim_cities!$A$2:$C$11, 2, FALSE)</f>
        <v>Hyderabad</v>
      </c>
      <c r="G44" s="3" t="str">
        <f>VLOOKUP(TRIM(E44),dim_cities!$A$2:$C$11,3,FALSE)</f>
        <v>Tier 1</v>
      </c>
    </row>
    <row r="45" spans="1:7">
      <c r="A45">
        <v>120074</v>
      </c>
      <c r="B45" t="s">
        <v>111</v>
      </c>
      <c r="C45" s="2" t="s">
        <v>27</v>
      </c>
      <c r="D45" t="s">
        <v>25</v>
      </c>
      <c r="E45" t="s">
        <v>35</v>
      </c>
      <c r="F45" s="3" t="str">
        <f>VLOOKUP(TRIM(E45), dim_cities!$A$2:$C$11, 2, FALSE)</f>
        <v>Mumbai</v>
      </c>
      <c r="G45" s="3" t="str">
        <f>VLOOKUP(TRIM(E45),dim_cities!$A$2:$C$11,3,FALSE)</f>
        <v>Tier 1</v>
      </c>
    </row>
    <row r="46" spans="1:7">
      <c r="A46">
        <v>120075</v>
      </c>
      <c r="B46" t="s">
        <v>112</v>
      </c>
      <c r="C46" s="2" t="s">
        <v>31</v>
      </c>
      <c r="D46" t="s">
        <v>29</v>
      </c>
      <c r="E46" t="s">
        <v>54</v>
      </c>
      <c r="F46" s="3" t="str">
        <f>VLOOKUP(TRIM(E46), dim_cities!$A$2:$C$11, 2, FALSE)</f>
        <v>Bangalore</v>
      </c>
      <c r="G46" s="3" t="str">
        <f>VLOOKUP(TRIM(E46),dim_cities!$A$2:$C$11,3,FALSE)</f>
        <v>Tier 1</v>
      </c>
    </row>
    <row r="47" spans="1:7">
      <c r="A47">
        <v>120076</v>
      </c>
      <c r="B47" t="s">
        <v>113</v>
      </c>
      <c r="C47" s="2" t="s">
        <v>27</v>
      </c>
      <c r="D47" t="s">
        <v>29</v>
      </c>
      <c r="E47" t="s">
        <v>54</v>
      </c>
      <c r="F47" s="3" t="str">
        <f>VLOOKUP(TRIM(E47), dim_cities!$A$2:$C$11, 2, FALSE)</f>
        <v>Bangalore</v>
      </c>
      <c r="G47" s="3" t="str">
        <f>VLOOKUP(TRIM(E47),dim_cities!$A$2:$C$11,3,FALSE)</f>
        <v>Tier 1</v>
      </c>
    </row>
    <row r="48" spans="1:7">
      <c r="A48">
        <v>120077</v>
      </c>
      <c r="B48" t="s">
        <v>114</v>
      </c>
      <c r="C48" s="2" t="s">
        <v>27</v>
      </c>
      <c r="D48" t="s">
        <v>29</v>
      </c>
      <c r="E48" t="s">
        <v>30</v>
      </c>
      <c r="F48" s="3" t="str">
        <f>VLOOKUP(TRIM(E48), dim_cities!$A$2:$C$11, 2, FALSE)</f>
        <v>Hyderabad</v>
      </c>
      <c r="G48" s="3" t="str">
        <f>VLOOKUP(TRIM(E48),dim_cities!$A$2:$C$11,3,FALSE)</f>
        <v>Tier 1</v>
      </c>
    </row>
    <row r="49" spans="1:7">
      <c r="A49">
        <v>120078</v>
      </c>
      <c r="B49" t="s">
        <v>115</v>
      </c>
      <c r="C49" s="2" t="s">
        <v>27</v>
      </c>
      <c r="D49" t="s">
        <v>25</v>
      </c>
      <c r="E49" t="s">
        <v>47</v>
      </c>
      <c r="F49" s="3" t="str">
        <f>VLOOKUP(TRIM(E49), dim_cities!$A$2:$C$11, 2, FALSE)</f>
        <v>Ahmedabad</v>
      </c>
      <c r="G49" s="3" t="str">
        <f>VLOOKUP(TRIM(E49),dim_cities!$A$2:$C$11,3,FALSE)</f>
        <v>Tier 2</v>
      </c>
    </row>
    <row r="50" spans="1:7">
      <c r="A50">
        <v>120079</v>
      </c>
      <c r="B50" t="s">
        <v>55</v>
      </c>
      <c r="C50" s="2" t="s">
        <v>31</v>
      </c>
      <c r="D50" t="s">
        <v>25</v>
      </c>
      <c r="E50" t="s">
        <v>32</v>
      </c>
      <c r="F50" s="3" t="str">
        <f>VLOOKUP(TRIM(E50), dim_cities!$A$2:$C$11, 2, FALSE)</f>
        <v>Bangalore</v>
      </c>
      <c r="G50" s="3" t="str">
        <f>VLOOKUP(TRIM(E50),dim_cities!$A$2:$C$11,3,FALSE)</f>
        <v>Tier 1</v>
      </c>
    </row>
    <row r="51" spans="1:7">
      <c r="A51">
        <v>120080</v>
      </c>
      <c r="B51" t="s">
        <v>116</v>
      </c>
      <c r="C51" s="2" t="s">
        <v>27</v>
      </c>
      <c r="D51" t="s">
        <v>29</v>
      </c>
      <c r="E51" t="s">
        <v>54</v>
      </c>
      <c r="F51" s="3" t="str">
        <f>VLOOKUP(TRIM(E51), dim_cities!$A$2:$C$11, 2, FALSE)</f>
        <v>Bangalore</v>
      </c>
      <c r="G51" s="3" t="str">
        <f>VLOOKUP(TRIM(E51),dim_cities!$A$2:$C$11,3,FALSE)</f>
        <v>Tier 1</v>
      </c>
    </row>
    <row r="52" spans="1:7">
      <c r="A52">
        <v>120081</v>
      </c>
      <c r="B52" t="s">
        <v>56</v>
      </c>
      <c r="C52" s="2" t="s">
        <v>27</v>
      </c>
      <c r="D52" t="s">
        <v>25</v>
      </c>
      <c r="E52" t="s">
        <v>33</v>
      </c>
      <c r="F52" s="3" t="str">
        <f>VLOOKUP(TRIM(E52), dim_cities!$A$2:$C$11, 2, FALSE)</f>
        <v>Lucknow</v>
      </c>
      <c r="G52" s="3" t="str">
        <f>VLOOKUP(TRIM(E52),dim_cities!$A$2:$C$11,3,FALSE)</f>
        <v>Tier 2</v>
      </c>
    </row>
    <row r="53" spans="1:7">
      <c r="A53">
        <v>120082</v>
      </c>
      <c r="B53" t="s">
        <v>117</v>
      </c>
      <c r="C53" s="2" t="s">
        <v>31</v>
      </c>
      <c r="D53" t="s">
        <v>25</v>
      </c>
      <c r="E53" t="s">
        <v>54</v>
      </c>
      <c r="F53" s="3" t="str">
        <f>VLOOKUP(TRIM(E53), dim_cities!$A$2:$C$11, 2, FALSE)</f>
        <v>Bangalore</v>
      </c>
      <c r="G53" s="3" t="str">
        <f>VLOOKUP(TRIM(E53),dim_cities!$A$2:$C$11,3,FALSE)</f>
        <v>Tier 1</v>
      </c>
    </row>
    <row r="54" spans="1:7">
      <c r="A54">
        <v>120083</v>
      </c>
      <c r="B54" t="s">
        <v>118</v>
      </c>
      <c r="C54" s="2" t="s">
        <v>31</v>
      </c>
      <c r="D54" t="s">
        <v>25</v>
      </c>
      <c r="E54" t="s">
        <v>54</v>
      </c>
      <c r="F54" s="3" t="str">
        <f>VLOOKUP(TRIM(E54), dim_cities!$A$2:$C$11, 2, FALSE)</f>
        <v>Bangalore</v>
      </c>
      <c r="G54" s="3" t="str">
        <f>VLOOKUP(TRIM(E54),dim_cities!$A$2:$C$11,3,FALSE)</f>
        <v>Tier 1</v>
      </c>
    </row>
    <row r="55" spans="1:7">
      <c r="A55">
        <v>120084</v>
      </c>
      <c r="B55" t="s">
        <v>57</v>
      </c>
      <c r="C55" s="2" t="s">
        <v>24</v>
      </c>
      <c r="D55" t="s">
        <v>29</v>
      </c>
      <c r="E55" t="s">
        <v>35</v>
      </c>
      <c r="F55" s="3" t="str">
        <f>VLOOKUP(TRIM(E55), dim_cities!$A$2:$C$11, 2, FALSE)</f>
        <v>Mumbai</v>
      </c>
      <c r="G55" s="3" t="str">
        <f>VLOOKUP(TRIM(E55),dim_cities!$A$2:$C$11,3,FALSE)</f>
        <v>Tier 1</v>
      </c>
    </row>
    <row r="56" spans="1:7">
      <c r="A56">
        <v>120085</v>
      </c>
      <c r="B56" t="s">
        <v>119</v>
      </c>
      <c r="C56" s="2" t="s">
        <v>27</v>
      </c>
      <c r="D56" t="s">
        <v>29</v>
      </c>
      <c r="E56" t="s">
        <v>39</v>
      </c>
      <c r="F56" s="3" t="str">
        <f>VLOOKUP(TRIM(E56), dim_cities!$A$2:$C$11, 2, FALSE)</f>
        <v>Mumbai</v>
      </c>
      <c r="G56" s="3" t="str">
        <f>VLOOKUP(TRIM(E56),dim_cities!$A$2:$C$11,3,FALSE)</f>
        <v>Tier 1</v>
      </c>
    </row>
    <row r="57" spans="1:7">
      <c r="A57">
        <v>120086</v>
      </c>
      <c r="B57" t="s">
        <v>120</v>
      </c>
      <c r="C57" s="2" t="s">
        <v>31</v>
      </c>
      <c r="D57" t="s">
        <v>29</v>
      </c>
      <c r="E57" t="s">
        <v>49</v>
      </c>
      <c r="F57" s="3" t="str">
        <f>VLOOKUP(TRIM(E57), dim_cities!$A$2:$C$11, 2, FALSE)</f>
        <v>Jaipur</v>
      </c>
      <c r="G57" s="3" t="str">
        <f>VLOOKUP(TRIM(E57),dim_cities!$A$2:$C$11,3,FALSE)</f>
        <v>Tier 2</v>
      </c>
    </row>
    <row r="58" spans="1:7">
      <c r="A58">
        <v>120087</v>
      </c>
      <c r="B58" t="s">
        <v>121</v>
      </c>
      <c r="C58" s="2" t="s">
        <v>24</v>
      </c>
      <c r="D58" t="s">
        <v>25</v>
      </c>
      <c r="E58" t="s">
        <v>32</v>
      </c>
      <c r="F58" s="3" t="str">
        <f>VLOOKUP(TRIM(E58), dim_cities!$A$2:$C$11, 2, FALSE)</f>
        <v>Bangalore</v>
      </c>
      <c r="G58" s="3" t="str">
        <f>VLOOKUP(TRIM(E58),dim_cities!$A$2:$C$11,3,FALSE)</f>
        <v>Tier 1</v>
      </c>
    </row>
    <row r="59" spans="1:7">
      <c r="A59">
        <v>120088</v>
      </c>
      <c r="B59" t="s">
        <v>122</v>
      </c>
      <c r="C59" s="2" t="s">
        <v>31</v>
      </c>
      <c r="D59" t="s">
        <v>29</v>
      </c>
      <c r="E59" t="s">
        <v>30</v>
      </c>
      <c r="F59" s="3" t="str">
        <f>VLOOKUP(TRIM(E59), dim_cities!$A$2:$C$11, 2, FALSE)</f>
        <v>Hyderabad</v>
      </c>
      <c r="G59" s="3" t="str">
        <f>VLOOKUP(TRIM(E59),dim_cities!$A$2:$C$11,3,FALSE)</f>
        <v>Tier 1</v>
      </c>
    </row>
    <row r="60" spans="1:7">
      <c r="A60">
        <v>120089</v>
      </c>
      <c r="B60" t="s">
        <v>123</v>
      </c>
      <c r="C60" s="2" t="s">
        <v>24</v>
      </c>
      <c r="D60" t="s">
        <v>29</v>
      </c>
      <c r="E60" t="s">
        <v>30</v>
      </c>
      <c r="F60" s="3" t="str">
        <f>VLOOKUP(TRIM(E60), dim_cities!$A$2:$C$11, 2, FALSE)</f>
        <v>Hyderabad</v>
      </c>
      <c r="G60" s="3" t="str">
        <f>VLOOKUP(TRIM(E60),dim_cities!$A$2:$C$11,3,FALSE)</f>
        <v>Tier 1</v>
      </c>
    </row>
    <row r="61" spans="1:7">
      <c r="A61">
        <v>120090</v>
      </c>
      <c r="B61" t="s">
        <v>58</v>
      </c>
      <c r="C61" s="2" t="s">
        <v>27</v>
      </c>
      <c r="D61" t="s">
        <v>29</v>
      </c>
      <c r="E61" t="s">
        <v>54</v>
      </c>
      <c r="F61" s="3" t="str">
        <f>VLOOKUP(TRIM(E61), dim_cities!$A$2:$C$11, 2, FALSE)</f>
        <v>Bangalore</v>
      </c>
      <c r="G61" s="3" t="str">
        <f>VLOOKUP(TRIM(E61),dim_cities!$A$2:$C$11,3,FALSE)</f>
        <v>Tier 1</v>
      </c>
    </row>
    <row r="62" spans="1:7">
      <c r="A62">
        <v>120091</v>
      </c>
      <c r="B62" t="s">
        <v>124</v>
      </c>
      <c r="C62" s="2" t="s">
        <v>31</v>
      </c>
      <c r="D62" t="s">
        <v>25</v>
      </c>
      <c r="E62" t="s">
        <v>36</v>
      </c>
      <c r="F62" s="3" t="str">
        <f>VLOOKUP(TRIM(E62), dim_cities!$A$2:$C$11, 2, FALSE)</f>
        <v>Hyderabad</v>
      </c>
      <c r="G62" s="3" t="str">
        <f>VLOOKUP(TRIM(E62),dim_cities!$A$2:$C$11,3,FALSE)</f>
        <v>Tier 1</v>
      </c>
    </row>
    <row r="63" spans="1:7">
      <c r="A63">
        <v>120092</v>
      </c>
      <c r="B63" t="s">
        <v>125</v>
      </c>
      <c r="C63" s="2" t="s">
        <v>27</v>
      </c>
      <c r="D63" t="s">
        <v>29</v>
      </c>
      <c r="E63" t="s">
        <v>32</v>
      </c>
      <c r="F63" s="3" t="str">
        <f>VLOOKUP(TRIM(E63), dim_cities!$A$2:$C$11, 2, FALSE)</f>
        <v>Bangalore</v>
      </c>
      <c r="G63" s="3" t="str">
        <f>VLOOKUP(TRIM(E63),dim_cities!$A$2:$C$11,3,FALSE)</f>
        <v>Tier 1</v>
      </c>
    </row>
    <row r="64" spans="1:7">
      <c r="A64">
        <v>120093</v>
      </c>
      <c r="B64" t="s">
        <v>126</v>
      </c>
      <c r="C64" s="2" t="s">
        <v>31</v>
      </c>
      <c r="D64" t="s">
        <v>25</v>
      </c>
      <c r="E64" t="s">
        <v>28</v>
      </c>
      <c r="F64" s="3" t="str">
        <f>VLOOKUP(TRIM(E64), dim_cities!$A$2:$C$11, 2, FALSE)</f>
        <v>Pune</v>
      </c>
      <c r="G64" s="3" t="str">
        <f>VLOOKUP(TRIM(E64),dim_cities!$A$2:$C$11,3,FALSE)</f>
        <v>Tier 2</v>
      </c>
    </row>
    <row r="65" spans="1:7">
      <c r="A65">
        <v>120094</v>
      </c>
      <c r="B65" t="s">
        <v>127</v>
      </c>
      <c r="C65" s="2" t="s">
        <v>31</v>
      </c>
      <c r="D65" t="s">
        <v>46</v>
      </c>
      <c r="E65" t="s">
        <v>59</v>
      </c>
      <c r="F65" s="3" t="str">
        <f>VLOOKUP(TRIM(E65), dim_cities!$A$2:$C$11, 2, FALSE)</f>
        <v>Delhi</v>
      </c>
      <c r="G65" s="3" t="str">
        <f>VLOOKUP(TRIM(E65),dim_cities!$A$2:$C$11,3,FALSE)</f>
        <v>Tier 1</v>
      </c>
    </row>
    <row r="66" spans="1:7">
      <c r="A66">
        <v>120095</v>
      </c>
      <c r="B66" t="s">
        <v>60</v>
      </c>
      <c r="C66" s="2" t="s">
        <v>27</v>
      </c>
      <c r="D66" t="s">
        <v>29</v>
      </c>
      <c r="E66" t="s">
        <v>54</v>
      </c>
      <c r="F66" s="3" t="str">
        <f>VLOOKUP(TRIM(E66), dim_cities!$A$2:$C$11, 2, FALSE)</f>
        <v>Bangalore</v>
      </c>
      <c r="G66" s="3" t="str">
        <f>VLOOKUP(TRIM(E66),dim_cities!$A$2:$C$11,3,FALSE)</f>
        <v>Tier 1</v>
      </c>
    </row>
    <row r="67" spans="1:7">
      <c r="A67">
        <v>120096</v>
      </c>
      <c r="B67" t="s">
        <v>128</v>
      </c>
      <c r="C67" s="2" t="s">
        <v>27</v>
      </c>
      <c r="D67" t="s">
        <v>29</v>
      </c>
      <c r="E67" t="s">
        <v>54</v>
      </c>
      <c r="F67" s="3" t="str">
        <f>VLOOKUP(TRIM(E67), dim_cities!$A$2:$C$11, 2, FALSE)</f>
        <v>Bangalore</v>
      </c>
      <c r="G67" s="3" t="str">
        <f>VLOOKUP(TRIM(E67),dim_cities!$A$2:$C$11,3,FALSE)</f>
        <v>Tier 1</v>
      </c>
    </row>
    <row r="68" spans="1:7">
      <c r="A68">
        <v>120097</v>
      </c>
      <c r="B68" t="s">
        <v>129</v>
      </c>
      <c r="C68" s="2" t="s">
        <v>24</v>
      </c>
      <c r="D68" t="s">
        <v>25</v>
      </c>
      <c r="E68" t="s">
        <v>35</v>
      </c>
      <c r="F68" s="3" t="str">
        <f>VLOOKUP(TRIM(E68), dim_cities!$A$2:$C$11, 2, FALSE)</f>
        <v>Mumbai</v>
      </c>
      <c r="G68" s="3" t="str">
        <f>VLOOKUP(TRIM(E68),dim_cities!$A$2:$C$11,3,FALSE)</f>
        <v>Tier 1</v>
      </c>
    </row>
    <row r="69" spans="1:7">
      <c r="A69">
        <v>120098</v>
      </c>
      <c r="B69" t="s">
        <v>130</v>
      </c>
      <c r="C69" s="2" t="s">
        <v>27</v>
      </c>
      <c r="D69" t="s">
        <v>29</v>
      </c>
      <c r="E69" t="s">
        <v>26</v>
      </c>
      <c r="F69" s="3" t="str">
        <f>VLOOKUP(TRIM(E69), dim_cities!$A$2:$C$11, 2, FALSE)</f>
        <v>Ahmedabad</v>
      </c>
      <c r="G69" s="3" t="str">
        <f>VLOOKUP(TRIM(E69),dim_cities!$A$2:$C$11,3,FALSE)</f>
        <v>Tier 2</v>
      </c>
    </row>
    <row r="70" spans="1:7">
      <c r="A70">
        <v>120099</v>
      </c>
      <c r="B70" t="s">
        <v>131</v>
      </c>
      <c r="C70" s="2" t="s">
        <v>24</v>
      </c>
      <c r="D70" t="s">
        <v>46</v>
      </c>
      <c r="E70" t="s">
        <v>28</v>
      </c>
      <c r="F70" s="3" t="str">
        <f>VLOOKUP(TRIM(E70), dim_cities!$A$2:$C$11, 2, FALSE)</f>
        <v>Pune</v>
      </c>
      <c r="G70" s="3" t="str">
        <f>VLOOKUP(TRIM(E70),dim_cities!$A$2:$C$11,3,FALSE)</f>
        <v>Tier 2</v>
      </c>
    </row>
    <row r="71" spans="1:7">
      <c r="A71">
        <v>120100</v>
      </c>
      <c r="B71" t="s">
        <v>61</v>
      </c>
      <c r="C71" s="2" t="s">
        <v>27</v>
      </c>
      <c r="D71" t="s">
        <v>29</v>
      </c>
      <c r="E71" t="s">
        <v>45</v>
      </c>
      <c r="F71" s="3" t="str">
        <f>VLOOKUP(TRIM(E71), dim_cities!$A$2:$C$11, 2, FALSE)</f>
        <v>Chennai</v>
      </c>
      <c r="G71" s="3" t="str">
        <f>VLOOKUP(TRIM(E71),dim_cities!$A$2:$C$11,3,FALSE)</f>
        <v>Tier 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3"/>
  <dimension ref="A1:C11"/>
  <sheetViews>
    <sheetView workbookViewId="0">
      <selection activeCell="E26" sqref="E26"/>
    </sheetView>
  </sheetViews>
  <sheetFormatPr defaultRowHeight="15"/>
  <cols>
    <col min="1" max="3" width="11" customWidth="1"/>
  </cols>
  <sheetData>
    <row r="1" spans="1:3">
      <c r="A1" t="s">
        <v>22</v>
      </c>
      <c r="B1" t="s">
        <v>62</v>
      </c>
      <c r="C1" t="s">
        <v>63</v>
      </c>
    </row>
    <row r="2" spans="1:3">
      <c r="A2" t="s">
        <v>59</v>
      </c>
      <c r="B2" t="s">
        <v>74</v>
      </c>
      <c r="C2" t="s">
        <v>64</v>
      </c>
    </row>
    <row r="3" spans="1:3">
      <c r="A3" t="s">
        <v>39</v>
      </c>
      <c r="B3" t="s">
        <v>75</v>
      </c>
      <c r="C3" t="s">
        <v>64</v>
      </c>
    </row>
    <row r="4" spans="1:3">
      <c r="A4" t="s">
        <v>32</v>
      </c>
      <c r="B4" t="s">
        <v>65</v>
      </c>
      <c r="C4" t="s">
        <v>64</v>
      </c>
    </row>
    <row r="5" spans="1:3">
      <c r="A5" t="s">
        <v>43</v>
      </c>
      <c r="B5" t="s">
        <v>76</v>
      </c>
      <c r="C5" t="s">
        <v>64</v>
      </c>
    </row>
    <row r="6" spans="1:3">
      <c r="A6" t="s">
        <v>66</v>
      </c>
      <c r="B6" t="s">
        <v>67</v>
      </c>
      <c r="C6" t="s">
        <v>70</v>
      </c>
    </row>
    <row r="7" spans="1:3">
      <c r="A7" t="s">
        <v>30</v>
      </c>
      <c r="B7" t="s">
        <v>68</v>
      </c>
      <c r="C7" t="s">
        <v>64</v>
      </c>
    </row>
    <row r="8" spans="1:3">
      <c r="A8" t="s">
        <v>26</v>
      </c>
      <c r="B8" t="s">
        <v>69</v>
      </c>
      <c r="C8" t="s">
        <v>70</v>
      </c>
    </row>
    <row r="9" spans="1:3">
      <c r="A9" t="s">
        <v>28</v>
      </c>
      <c r="B9" t="s">
        <v>71</v>
      </c>
      <c r="C9" t="s">
        <v>70</v>
      </c>
    </row>
    <row r="10" spans="1:3">
      <c r="A10" t="s">
        <v>49</v>
      </c>
      <c r="B10" t="s">
        <v>72</v>
      </c>
      <c r="C10" t="s">
        <v>70</v>
      </c>
    </row>
    <row r="11" spans="1:3">
      <c r="A11" t="s">
        <v>33</v>
      </c>
      <c r="B11" t="s">
        <v>73</v>
      </c>
      <c r="C11" t="s">
        <v>70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I2:K13"/>
  <sheetViews>
    <sheetView topLeftCell="A10" workbookViewId="0">
      <selection activeCell="K17" sqref="K17"/>
    </sheetView>
  </sheetViews>
  <sheetFormatPr defaultRowHeight="15"/>
  <cols>
    <col min="9" max="9" width="15.42578125" customWidth="1"/>
    <col min="10" max="10" width="17" customWidth="1"/>
    <col min="11" max="11" width="18" customWidth="1"/>
  </cols>
  <sheetData>
    <row r="2" spans="9:11">
      <c r="I2" s="4" t="s">
        <v>62</v>
      </c>
      <c r="J2" t="s">
        <v>143</v>
      </c>
    </row>
    <row r="3" spans="9:11">
      <c r="I3" t="s">
        <v>147</v>
      </c>
    </row>
    <row r="4" spans="9:11">
      <c r="J4" s="4" t="s">
        <v>142</v>
      </c>
    </row>
    <row r="5" spans="9:11">
      <c r="I5" s="4" t="s">
        <v>144</v>
      </c>
      <c r="J5" t="s">
        <v>145</v>
      </c>
      <c r="K5" t="s">
        <v>146</v>
      </c>
    </row>
    <row r="6" spans="9:11">
      <c r="I6" s="5" t="s">
        <v>7</v>
      </c>
      <c r="J6" s="7">
        <v>3.2777777777777777</v>
      </c>
      <c r="K6" s="3">
        <v>18</v>
      </c>
    </row>
    <row r="7" spans="9:11">
      <c r="I7" s="5" t="s">
        <v>18</v>
      </c>
      <c r="J7" s="7">
        <v>3</v>
      </c>
      <c r="K7" s="3">
        <v>7</v>
      </c>
    </row>
    <row r="8" spans="9:11">
      <c r="I8" s="5" t="s">
        <v>133</v>
      </c>
      <c r="J8" s="7">
        <v>3.5</v>
      </c>
      <c r="K8" s="3">
        <v>6</v>
      </c>
    </row>
    <row r="9" spans="9:11">
      <c r="I9" s="5" t="s">
        <v>11</v>
      </c>
      <c r="J9" s="7">
        <v>3.2</v>
      </c>
      <c r="K9" s="3">
        <v>15</v>
      </c>
    </row>
    <row r="10" spans="9:11">
      <c r="I10" s="5" t="s">
        <v>14</v>
      </c>
      <c r="J10" s="7">
        <v>3.0833333333333335</v>
      </c>
      <c r="K10" s="3">
        <v>12</v>
      </c>
    </row>
    <row r="11" spans="9:11" ht="15.75" thickBot="1">
      <c r="I11" s="5" t="s">
        <v>134</v>
      </c>
      <c r="J11" s="7">
        <v>3</v>
      </c>
      <c r="K11" s="3">
        <v>5</v>
      </c>
    </row>
    <row r="12" spans="9:11" ht="16.5" thickTop="1" thickBot="1">
      <c r="I12" s="5" t="s">
        <v>15</v>
      </c>
      <c r="J12" s="8">
        <v>3.8571428571428572</v>
      </c>
      <c r="K12" s="3">
        <v>7</v>
      </c>
    </row>
    <row r="13" spans="9:11" ht="15.75" thickTop="1"/>
  </sheetData>
  <conditionalFormatting pivot="1" sqref="J6:J12">
    <cfRule type="cellIs" dxfId="15" priority="20" stopIfTrue="1" operator="equal">
      <formula>3.9</formula>
    </cfRule>
  </conditionalFormatting>
  <conditionalFormatting pivot="1" sqref="J6:J12">
    <cfRule type="dataBar" priority="19">
      <dataBar>
        <cfvo type="min" val="0"/>
        <cfvo type="max" val="0"/>
        <color rgb="FFD6007B"/>
      </dataBar>
    </cfRule>
  </conditionalFormatting>
  <conditionalFormatting pivot="1" sqref="K6:K12">
    <cfRule type="dataBar" priority="18">
      <dataBar>
        <cfvo type="min" val="0"/>
        <cfvo type="max" val="0"/>
        <color rgb="FF63C384"/>
      </dataBar>
    </cfRule>
  </conditionalFormatting>
  <conditionalFormatting sqref="I6:I12">
    <cfRule type="cellIs" dxfId="14" priority="17" operator="equal">
      <formula>3.9</formula>
    </cfRule>
  </conditionalFormatting>
  <conditionalFormatting pivot="1" sqref="J6:J12">
    <cfRule type="expression" dxfId="13" priority="16">
      <formula>"Max(Avg Taste Experience)"</formula>
    </cfRule>
  </conditionalFormatting>
  <conditionalFormatting pivot="1" sqref="J6:J12">
    <cfRule type="top10" priority="15" rank="1"/>
  </conditionalFormatting>
  <conditionalFormatting pivot="1" sqref="J6:J12">
    <cfRule type="top10" dxfId="12" priority="14" rank="1"/>
  </conditionalFormatting>
  <conditionalFormatting pivot="1" sqref="J6:J12">
    <cfRule type="top10" dxfId="11" priority="13" bottom="1" rank="1"/>
  </conditionalFormatting>
  <conditionalFormatting pivot="1" sqref="J6:J12">
    <cfRule type="top10" dxfId="10" priority="12" rank="1"/>
  </conditionalFormatting>
  <conditionalFormatting pivot="1" sqref="J6:J12">
    <cfRule type="top10" dxfId="9" priority="11" bottom="1" rank="1"/>
  </conditionalFormatting>
  <conditionalFormatting pivot="1" sqref="J6:J12">
    <cfRule type="top10" dxfId="8" priority="10" rank="1"/>
  </conditionalFormatting>
  <conditionalFormatting pivot="1" sqref="J6:J12">
    <cfRule type="top10" dxfId="7" priority="9" rank="1"/>
  </conditionalFormatting>
  <conditionalFormatting pivot="1" sqref="K6:K12">
    <cfRule type="dataBar" priority="8">
      <dataBar>
        <cfvo type="min" val="0"/>
        <cfvo type="max" val="0"/>
        <color rgb="FF00B0F0"/>
      </dataBar>
    </cfRule>
  </conditionalFormatting>
  <conditionalFormatting pivot="1" sqref="J6:J12">
    <cfRule type="top10" dxfId="6" priority="7" rank="1"/>
  </conditionalFormatting>
  <conditionalFormatting pivot="1" sqref="J6:J12">
    <cfRule type="top10" dxfId="5" priority="6" rank="1"/>
  </conditionalFormatting>
  <conditionalFormatting pivot="1" sqref="J6:J12">
    <cfRule type="top10" dxfId="4" priority="5" rank="1"/>
  </conditionalFormatting>
  <conditionalFormatting pivot="1" sqref="J12">
    <cfRule type="top10" dxfId="3" priority="4" rank="1"/>
  </conditionalFormatting>
  <conditionalFormatting pivot="1" sqref="K6:K12">
    <cfRule type="dataBar" priority="3">
      <dataBar>
        <cfvo type="min" val="0"/>
        <cfvo type="max" val="0"/>
        <color theme="0" tint="-0.34998626667073579"/>
      </dataBar>
    </cfRule>
  </conditionalFormatting>
  <conditionalFormatting pivot="1" sqref="J6:J12">
    <cfRule type="top10" dxfId="2" priority="2" bottom="1" rank="1"/>
  </conditionalFormatting>
  <conditionalFormatting pivot="1" sqref="J6:J12">
    <cfRule type="top10" dxfId="1" priority="1" bottom="1" rank="1"/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fact_survey_responses</vt:lpstr>
      <vt:lpstr>dim_respondents</vt:lpstr>
      <vt:lpstr>dim_cities</vt:lpstr>
      <vt:lpstr>DashBoard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2026-06-16T10:14:25Z</dcterms:created>
  <dcterms:modified xsi:type="dcterms:W3CDTF">2026-06-18T10:45:22Z</dcterms:modified>
</cp:coreProperties>
</file>